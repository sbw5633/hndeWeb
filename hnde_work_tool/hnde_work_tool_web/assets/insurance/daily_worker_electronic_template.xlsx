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d71992e22202cd/업무/2024/_매월정기업무/6.일용직4대보험/근로내역확인신고/전자신고용/"/>
    </mc:Choice>
  </mc:AlternateContent>
  <xr:revisionPtr revIDLastSave="147" documentId="8_{C9AF2CD3-7867-4CE1-B3C8-4478798207AE}" xr6:coauthVersionLast="46" xr6:coauthVersionMax="46" xr10:uidLastSave="{B5DC9ADF-9AE3-4D93-9D48-B0C74040F9B8}"/>
  <bookViews>
    <workbookView xWindow="-120" yWindow="-120" windowWidth="29040" windowHeight="15840" xr2:uid="{00000000-000D-0000-FFFF-FFFF00000000}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19" i="3" l="1"/>
  <c r="AZ19" i="3"/>
  <c r="AT20" i="3"/>
  <c r="AZ20" i="3"/>
  <c r="AT21" i="3"/>
  <c r="AZ21" i="3"/>
  <c r="AT22" i="3"/>
  <c r="AZ22" i="3"/>
  <c r="AT23" i="3"/>
  <c r="AZ23" i="3"/>
  <c r="AT24" i="3"/>
  <c r="AZ24" i="3"/>
  <c r="AT25" i="3"/>
  <c r="AZ25" i="3"/>
  <c r="AT26" i="3"/>
  <c r="AZ26" i="3"/>
  <c r="AT27" i="3"/>
  <c r="AZ27" i="3"/>
  <c r="AP19" i="3"/>
  <c r="AR19" i="3" s="1"/>
  <c r="AP20" i="3"/>
  <c r="AR20" i="3" s="1"/>
  <c r="AP21" i="3"/>
  <c r="AR21" i="3" s="1"/>
  <c r="AP22" i="3"/>
  <c r="AR22" i="3"/>
  <c r="AP23" i="3"/>
  <c r="AR23" i="3" s="1"/>
  <c r="AP24" i="3"/>
  <c r="AR24" i="3"/>
  <c r="AP25" i="3"/>
  <c r="AR25" i="3" s="1"/>
  <c r="AP26" i="3"/>
  <c r="AR26" i="3" s="1"/>
  <c r="AP27" i="3"/>
  <c r="AR27" i="3" s="1"/>
  <c r="C27" i="3"/>
  <c r="B27" i="3"/>
  <c r="C26" i="3"/>
  <c r="B26" i="3"/>
  <c r="B25" i="3"/>
  <c r="C25" i="3" s="1"/>
  <c r="B24" i="3"/>
  <c r="C24" i="3" s="1"/>
  <c r="C23" i="3"/>
  <c r="B23" i="3"/>
  <c r="B22" i="3"/>
  <c r="C22" i="3" s="1"/>
  <c r="B21" i="3"/>
  <c r="C21" i="3" s="1"/>
  <c r="B20" i="3"/>
  <c r="C20" i="3" s="1"/>
  <c r="C19" i="3"/>
  <c r="B19" i="3"/>
  <c r="C18" i="3"/>
  <c r="B18" i="3"/>
  <c r="B17" i="3"/>
  <c r="C17" i="3" s="1"/>
  <c r="B16" i="3"/>
  <c r="C16" i="3" s="1"/>
  <c r="C15" i="3"/>
  <c r="B15" i="3"/>
  <c r="C14" i="3"/>
  <c r="B14" i="3"/>
  <c r="B13" i="3"/>
  <c r="C13" i="3" s="1"/>
  <c r="B12" i="3"/>
  <c r="C12" i="3" s="1"/>
  <c r="C11" i="3"/>
  <c r="B11" i="3"/>
  <c r="C10" i="3"/>
  <c r="B10" i="3"/>
  <c r="B9" i="3"/>
  <c r="C9" i="3" s="1"/>
  <c r="B8" i="3"/>
  <c r="C8" i="3" s="1"/>
  <c r="C7" i="3"/>
  <c r="B7" i="3"/>
  <c r="C6" i="3"/>
  <c r="B6" i="3"/>
  <c r="B5" i="3"/>
  <c r="C5" i="3" s="1"/>
  <c r="B4" i="3"/>
  <c r="C4" i="3" s="1"/>
  <c r="C3" i="3"/>
  <c r="B3" i="3"/>
  <c r="C2" i="3"/>
  <c r="B2" i="3"/>
  <c r="AT18" i="3"/>
  <c r="AZ18" i="3"/>
  <c r="AP18" i="3"/>
  <c r="AR18" i="3" s="1"/>
  <c r="AP2" i="3" l="1"/>
  <c r="AR2" i="3" s="1"/>
  <c r="AP3" i="3"/>
  <c r="AR3" i="3" s="1"/>
  <c r="AP4" i="3"/>
  <c r="AR4" i="3" s="1"/>
  <c r="AP5" i="3"/>
  <c r="AR5" i="3" s="1"/>
  <c r="AP6" i="3"/>
  <c r="AR6" i="3" s="1"/>
  <c r="AP7" i="3"/>
  <c r="AR7" i="3" s="1"/>
  <c r="AP8" i="3"/>
  <c r="AR8" i="3" s="1"/>
  <c r="AP9" i="3"/>
  <c r="AR9" i="3" s="1"/>
  <c r="AP10" i="3"/>
  <c r="AR10" i="3" s="1"/>
  <c r="AP11" i="3"/>
  <c r="AR11" i="3" s="1"/>
  <c r="AP12" i="3"/>
  <c r="AR12" i="3" s="1"/>
  <c r="AP13" i="3"/>
  <c r="AR13" i="3" s="1"/>
  <c r="AP14" i="3"/>
  <c r="AR14" i="3" s="1"/>
  <c r="AP15" i="3"/>
  <c r="AR15" i="3" s="1"/>
  <c r="AP16" i="3"/>
  <c r="AR16" i="3" s="1"/>
  <c r="AP17" i="3"/>
  <c r="AR17" i="3" s="1"/>
  <c r="AT15" i="3"/>
  <c r="AZ14" i="3"/>
  <c r="AT13" i="3"/>
  <c r="AT12" i="3"/>
  <c r="AT10" i="3"/>
  <c r="AT9" i="3"/>
  <c r="AZ8" i="3"/>
  <c r="AZ7" i="3"/>
  <c r="AZ6" i="3"/>
  <c r="AT5" i="3"/>
  <c r="AT4" i="3"/>
  <c r="AT3" i="3"/>
  <c r="AZ2" i="3"/>
  <c r="AZ17" i="3"/>
  <c r="AT7" i="3"/>
  <c r="AT11" i="3"/>
  <c r="AT16" i="3"/>
  <c r="AZ11" i="3"/>
  <c r="AZ16" i="3"/>
  <c r="AZ12" i="3" l="1"/>
  <c r="AZ4" i="3"/>
  <c r="AT6" i="3"/>
  <c r="AT2" i="3"/>
  <c r="AZ3" i="3"/>
  <c r="AZ15" i="3"/>
  <c r="AT14" i="3"/>
  <c r="AT17" i="3"/>
  <c r="AZ13" i="3"/>
  <c r="AZ5" i="3"/>
  <c r="AT8" i="3"/>
  <c r="AZ9" i="3"/>
  <c r="AZ10" i="3"/>
  <c r="D27" i="3" l="1"/>
  <c r="AY27" i="3" s="1"/>
  <c r="D23" i="3"/>
  <c r="AY23" i="3" s="1"/>
  <c r="D19" i="3"/>
  <c r="AY19" i="3" s="1"/>
  <c r="D15" i="3"/>
  <c r="AY15" i="3" s="1"/>
  <c r="D11" i="3"/>
  <c r="AY11" i="3" s="1"/>
  <c r="D7" i="3"/>
  <c r="AY7" i="3" s="1"/>
  <c r="D3" i="3"/>
  <c r="AY3" i="3" s="1"/>
  <c r="D26" i="3"/>
  <c r="AY26" i="3" s="1"/>
  <c r="D22" i="3"/>
  <c r="AY22" i="3" s="1"/>
  <c r="D18" i="3"/>
  <c r="AY18" i="3" s="1"/>
  <c r="D14" i="3"/>
  <c r="AY14" i="3" s="1"/>
  <c r="D10" i="3"/>
  <c r="AY10" i="3" s="1"/>
  <c r="D6" i="3"/>
  <c r="AY6" i="3" s="1"/>
  <c r="D2" i="3"/>
  <c r="AY2" i="3" s="1"/>
  <c r="D24" i="3"/>
  <c r="AY24" i="3" s="1"/>
  <c r="D16" i="3"/>
  <c r="AY16" i="3" s="1"/>
  <c r="D12" i="3"/>
  <c r="AY12" i="3" s="1"/>
  <c r="D8" i="3"/>
  <c r="AY8" i="3" s="1"/>
  <c r="D25" i="3"/>
  <c r="AY25" i="3" s="1"/>
  <c r="D21" i="3"/>
  <c r="AY21" i="3" s="1"/>
  <c r="D17" i="3"/>
  <c r="AY17" i="3" s="1"/>
  <c r="D13" i="3"/>
  <c r="AY13" i="3" s="1"/>
  <c r="D9" i="3"/>
  <c r="AY9" i="3" s="1"/>
  <c r="D5" i="3"/>
  <c r="AY5" i="3" s="1"/>
  <c r="D4" i="3"/>
  <c r="AY4" i="3" s="1"/>
  <c r="D20" i="3"/>
  <c r="AY20" i="3" s="1"/>
</calcChain>
</file>

<file path=xl/sharedStrings.xml><?xml version="1.0" encoding="utf-8"?>
<sst xmlns="http://schemas.openxmlformats.org/spreadsheetml/2006/main" count="1520" uniqueCount="919">
  <si>
    <t>1</t>
    <phoneticPr fontId="5" type="noConversion"/>
  </si>
  <si>
    <t>신고월</t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</si>
  <si>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</si>
  <si>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</si>
  <si>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</si>
  <si>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</si>
  <si>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</si>
  <si>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</si>
  <si>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</si>
  <si>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</si>
  <si>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</si>
  <si>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</si>
  <si>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</si>
  <si>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</si>
  <si>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</si>
  <si>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</si>
  <si>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</si>
  <si>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</si>
  <si>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</si>
  <si>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</si>
  <si>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</si>
  <si>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</si>
  <si>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</si>
  <si>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</si>
  <si>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</si>
  <si>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</si>
  <si>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</si>
  <si>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</si>
  <si>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</si>
  <si>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</si>
  <si>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</si>
  <si>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</si>
  <si>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</si>
  <si>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</si>
  <si>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</si>
  <si>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</si>
  <si>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</si>
  <si>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</si>
  <si>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2" type="noConversion"/>
  </si>
  <si>
    <t>전화(지역번호)</t>
    <phoneticPr fontId="2" type="noConversion"/>
  </si>
  <si>
    <t>전화(지역번호)</t>
    <phoneticPr fontId="2" type="noConversion"/>
  </si>
  <si>
    <t>전화(국번)</t>
    <phoneticPr fontId="2" type="noConversion"/>
  </si>
  <si>
    <t>전화(국번)</t>
    <phoneticPr fontId="2" type="noConversion"/>
  </si>
  <si>
    <t>전화(뒷번호)</t>
    <phoneticPr fontId="2" type="noConversion"/>
  </si>
  <si>
    <t>전화(뒷번호)</t>
    <phoneticPr fontId="2" type="noConversion"/>
  </si>
  <si>
    <t>주민(외국인)등록번호</t>
  </si>
  <si>
    <t>보험구분</t>
    <phoneticPr fontId="5" type="noConversion"/>
  </si>
  <si>
    <t>성명</t>
    <phoneticPr fontId="5" type="noConversion"/>
  </si>
  <si>
    <t>주민(외국인)등록번호</t>
    <phoneticPr fontId="2" type="noConversion"/>
  </si>
  <si>
    <t>신고월</t>
    <phoneticPr fontId="5" type="noConversion"/>
  </si>
  <si>
    <t>국적코드</t>
    <phoneticPr fontId="5" type="noConversion"/>
  </si>
  <si>
    <t>체류자격코드</t>
    <phoneticPr fontId="5" type="noConversion"/>
  </si>
  <si>
    <t>직종코드</t>
    <phoneticPr fontId="5" type="noConversion"/>
  </si>
  <si>
    <t>1일</t>
    <phoneticPr fontId="5" type="noConversion"/>
  </si>
  <si>
    <t>2일</t>
    <phoneticPr fontId="5" type="noConversion"/>
  </si>
  <si>
    <t>3일</t>
    <phoneticPr fontId="5" type="noConversion"/>
  </si>
  <si>
    <t>31일</t>
    <phoneticPr fontId="2" type="noConversion"/>
  </si>
  <si>
    <t>근로일수</t>
    <phoneticPr fontId="2" type="noConversion"/>
  </si>
  <si>
    <t>보수총액</t>
    <phoneticPr fontId="2" type="noConversion"/>
  </si>
  <si>
    <t>임금총액</t>
    <phoneticPr fontId="2" type="noConversion"/>
  </si>
  <si>
    <t>이직사유코드</t>
    <phoneticPr fontId="2" type="noConversion"/>
  </si>
  <si>
    <t>100</t>
    <phoneticPr fontId="5" type="noConversion"/>
  </si>
  <si>
    <t>보험구분</t>
    <phoneticPr fontId="2" type="noConversion"/>
  </si>
  <si>
    <t>보험료부과구분
부호</t>
    <phoneticPr fontId="2" type="noConversion"/>
  </si>
  <si>
    <t>보험료부과구분
사유</t>
    <phoneticPr fontId="2" type="noConversion"/>
  </si>
  <si>
    <t>일평균근로시간</t>
    <phoneticPr fontId="2" type="noConversion"/>
  </si>
  <si>
    <t>보험료부과구분 부호
(해당자만 기재)</t>
    <phoneticPr fontId="2" type="noConversion"/>
  </si>
  <si>
    <t>5</t>
  </si>
  <si>
    <t>51</t>
    <phoneticPr fontId="2" type="noConversion"/>
  </si>
  <si>
    <t>09</t>
    <phoneticPr fontId="2" type="noConversion"/>
  </si>
  <si>
    <t>57</t>
    <phoneticPr fontId="2" type="noConversion"/>
  </si>
  <si>
    <t>14</t>
    <phoneticPr fontId="2" type="noConversion"/>
  </si>
  <si>
    <t>1</t>
    <phoneticPr fontId="2" type="noConversion"/>
  </si>
  <si>
    <t>3</t>
    <phoneticPr fontId="2" type="noConversion"/>
  </si>
  <si>
    <t>56</t>
    <phoneticPr fontId="2" type="noConversion"/>
  </si>
  <si>
    <t>01</t>
    <phoneticPr fontId="2" type="noConversion"/>
  </si>
  <si>
    <t>주민등록표(외국인등록증 또는 국내거소신고증)상의 성명를 적습니다.</t>
    <phoneticPr fontId="2" type="noConversion"/>
  </si>
  <si>
    <t>고용/산재보험 직종 :</t>
  </si>
  <si>
    <t>고용/산재보험 보험료부과구분 :</t>
  </si>
  <si>
    <t>2</t>
    <phoneticPr fontId="2" type="noConversion"/>
  </si>
  <si>
    <t>국적, 직종, 보험료부과구분코드 조회</t>
    <phoneticPr fontId="2" type="noConversion"/>
  </si>
  <si>
    <t>국적 :</t>
    <phoneticPr fontId="2" type="noConversion"/>
  </si>
  <si>
    <t>보수총액
(과세소득)</t>
    <phoneticPr fontId="2" type="noConversion"/>
  </si>
  <si>
    <t>비과세소득</t>
    <phoneticPr fontId="2" type="noConversion"/>
  </si>
  <si>
    <t>소득세</t>
    <phoneticPr fontId="2" type="noConversion"/>
  </si>
  <si>
    <t>지방소득세</t>
    <phoneticPr fontId="2" type="noConversion"/>
  </si>
  <si>
    <t xml:space="preserve">보험료 부과구분 사유
(해당자만 기재) </t>
    <phoneticPr fontId="2" type="noConversion"/>
  </si>
  <si>
    <t>비과세소득
(해당자만 기재)</t>
    <phoneticPr fontId="2" type="noConversion"/>
  </si>
  <si>
    <t>소득세
(해당자만 기재)</t>
    <phoneticPr fontId="2" type="noConversion"/>
  </si>
  <si>
    <t>지방소득세
(해당자만 기재)</t>
    <phoneticPr fontId="2" type="noConversion"/>
  </si>
  <si>
    <t>생산직 일용근로자에게 지급한 야간근로수당 등 비과세소득의 해당 월의 합계금액</t>
    <phoneticPr fontId="2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</si>
  <si>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2" type="noConversion"/>
  </si>
  <si>
    <t>국세청
일용근로소득
신고여부</t>
    <phoneticPr fontId="2" type="noConversion"/>
  </si>
  <si>
    <t>Y</t>
    <phoneticPr fontId="2" type="noConversion"/>
  </si>
  <si>
    <t>신고시 Y 기재</t>
    <phoneticPr fontId="2" type="noConversion"/>
  </si>
  <si>
    <t>국세청
일용근로소득
신고여부</t>
    <phoneticPr fontId="2" type="noConversion"/>
  </si>
  <si>
    <t>1000000</t>
    <phoneticPr fontId="2" type="noConversion"/>
  </si>
  <si>
    <t>보수지급기초일수</t>
    <phoneticPr fontId="2" type="noConversion"/>
  </si>
  <si>
    <t>지급월</t>
    <phoneticPr fontId="2" type="noConversion"/>
  </si>
  <si>
    <t>총지급액(과세소득)</t>
  </si>
  <si>
    <t>총지급액(과세소득)</t>
    <phoneticPr fontId="2" type="noConversion"/>
  </si>
  <si>
    <t>1000000</t>
    <phoneticPr fontId="2" type="noConversion"/>
  </si>
  <si>
    <t>4</t>
    <phoneticPr fontId="2" type="noConversion"/>
  </si>
  <si>
    <t>201002</t>
    <phoneticPr fontId="2" type="noConversion"/>
  </si>
  <si>
    <t>체류자격코드</t>
    <phoneticPr fontId="2" type="noConversion"/>
  </si>
  <si>
    <t>체류자격명</t>
    <phoneticPr fontId="2" type="noConversion"/>
  </si>
  <si>
    <t>체류자격설명</t>
    <phoneticPr fontId="2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</si>
  <si>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</si>
  <si>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</si>
  <si>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</si>
  <si>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</si>
  <si>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</si>
  <si>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</si>
  <si>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</si>
  <si>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</si>
  <si>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</si>
  <si>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</si>
  <si>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</si>
  <si>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</si>
  <si>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</si>
  <si>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</si>
  <si>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</si>
  <si>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</si>
  <si>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</si>
  <si>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</si>
  <si>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</si>
  <si>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</si>
  <si>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</si>
  <si>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</si>
  <si>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</si>
  <si>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</si>
  <si>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</si>
  <si>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</si>
  <si>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</si>
  <si>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</si>
  <si>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</si>
  <si>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</si>
  <si>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</si>
  <si>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</si>
  <si>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</si>
  <si>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</si>
  <si>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</si>
  <si>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</si>
  <si>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</si>
  <si>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</si>
  <si>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</si>
  <si>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</si>
  <si>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</si>
  <si>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</si>
  <si>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</si>
  <si>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</si>
  <si>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</si>
  <si>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</si>
  <si>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</si>
  <si>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</si>
  <si>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</si>
  <si>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</si>
  <si>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</si>
  <si>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</si>
  <si>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</si>
  <si>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</si>
  <si>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</si>
  <si>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</si>
  <si>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</si>
  <si>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</si>
  <si>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</si>
  <si>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</si>
  <si>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</si>
  <si>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</si>
  <si>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</si>
  <si>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</si>
  <si>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</si>
  <si>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</si>
  <si>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</si>
  <si>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</si>
  <si>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</si>
  <si>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</si>
  <si>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</si>
  <si>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</si>
  <si>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</si>
  <si>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</si>
  <si>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</si>
  <si>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</si>
  <si>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2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</si>
  <si>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</si>
  <si>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</si>
  <si>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</si>
  <si>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</si>
  <si>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</si>
  <si>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</si>
  <si>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</si>
  <si>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</si>
  <si>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</si>
  <si>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</si>
  <si>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</si>
  <si>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</si>
  <si>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</si>
  <si>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</si>
  <si>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</si>
  <si>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</si>
  <si>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</si>
  <si>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</si>
  <si>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</si>
  <si>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</si>
  <si>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</si>
  <si>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</si>
  <si>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</si>
  <si>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</si>
  <si>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</si>
  <si>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</si>
  <si>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</si>
  <si>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</si>
  <si>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</si>
  <si>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</si>
  <si>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</si>
  <si>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</si>
  <si>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</si>
  <si>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</si>
  <si>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</si>
  <si>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</si>
  <si>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</si>
  <si>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</si>
  <si>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</si>
  <si>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</si>
  <si>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</si>
  <si>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</si>
  <si>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</si>
  <si>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</si>
  <si>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</si>
  <si>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</si>
  <si>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</si>
  <si>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</si>
  <si>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</si>
  <si>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</si>
  <si>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</si>
  <si>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</si>
  <si>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</si>
  <si>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</si>
  <si>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</si>
  <si>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</si>
  <si>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</si>
  <si>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</si>
  <si>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</si>
  <si>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</si>
  <si>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</si>
  <si>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</si>
  <si>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</si>
  <si>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</si>
  <si>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</si>
  <si>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</si>
  <si>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</si>
  <si>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</si>
  <si>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</si>
  <si>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</si>
  <si>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</si>
  <si>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</si>
  <si>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</si>
  <si>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</si>
  <si>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</si>
  <si>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</si>
  <si>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</si>
  <si>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</si>
  <si>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</si>
  <si>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</si>
  <si>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</si>
  <si>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</si>
  <si>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</si>
  <si>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</si>
  <si>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</si>
  <si>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</si>
  <si>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</si>
  <si>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</si>
  <si>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</si>
  <si>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</si>
  <si>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</si>
  <si>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</si>
  <si>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</si>
  <si>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</si>
  <si>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</si>
  <si>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</si>
  <si>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</si>
  <si>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</si>
  <si>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</si>
  <si>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</si>
  <si>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</si>
  <si>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</si>
  <si>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</si>
  <si>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</si>
  <si>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</si>
  <si>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</si>
  <si>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</si>
  <si>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</si>
  <si>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</si>
  <si>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</si>
  <si>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</si>
  <si>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</si>
  <si>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</si>
  <si>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</si>
  <si>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</si>
  <si>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</si>
  <si>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</si>
  <si>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</si>
  <si>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</si>
  <si>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</si>
  <si>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</si>
  <si>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</si>
  <si>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</si>
  <si>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</si>
  <si>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</si>
  <si>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</si>
  <si>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</si>
  <si>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</si>
  <si>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</si>
  <si>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</si>
  <si>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</si>
  <si>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</si>
  <si>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</si>
  <si>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</si>
  <si>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</si>
  <si>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</si>
  <si>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</si>
  <si>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</si>
  <si>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</si>
  <si>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</si>
  <si>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</si>
  <si>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</si>
  <si>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</si>
  <si>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</si>
  <si>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</si>
  <si>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</si>
  <si>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</si>
  <si>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</si>
  <si>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</si>
  <si>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</si>
  <si>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</si>
  <si>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</si>
  <si>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</si>
  <si>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</si>
  <si>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</si>
  <si>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</si>
  <si>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</si>
  <si>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</si>
  <si>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</si>
  <si>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</si>
  <si>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</si>
  <si>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</si>
  <si>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</si>
  <si>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</si>
  <si>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</si>
  <si>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</si>
  <si>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</si>
  <si>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</si>
  <si>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</si>
  <si>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</si>
  <si>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</si>
  <si>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</si>
  <si>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</si>
  <si>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</si>
  <si>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</si>
  <si>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</si>
  <si>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</si>
  <si>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</si>
  <si>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</si>
  <si>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</si>
  <si>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</si>
  <si>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</si>
  <si>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</si>
  <si>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</si>
  <si>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</si>
  <si>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</si>
  <si>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</si>
  <si>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</si>
  <si>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</si>
  <si>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</si>
  <si>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</si>
  <si>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</si>
  <si>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</si>
  <si>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</si>
  <si>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</si>
  <si>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</si>
  <si>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</si>
  <si>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</si>
  <si>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</si>
  <si>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</si>
  <si>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</si>
  <si>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</si>
  <si>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</si>
  <si>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</si>
  <si>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</si>
  <si>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</si>
  <si>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</si>
  <si>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</si>
  <si>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</si>
  <si>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</si>
  <si>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</si>
  <si>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2" type="noConversion"/>
  </si>
  <si>
    <t xml:space="preserve"> 비전문취업축산업종사자</t>
    <phoneticPr fontId="2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</si>
  <si>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</si>
  <si>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</si>
  <si>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</si>
  <si>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</si>
  <si>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</si>
  <si>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</si>
  <si>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</si>
  <si>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</si>
  <si>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</si>
  <si>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</si>
  <si>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</si>
  <si>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</si>
  <si>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</si>
  <si>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</si>
  <si>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</si>
  <si>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</si>
  <si>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</si>
  <si>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</si>
  <si>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</si>
  <si>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</si>
  <si>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</si>
  <si>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</si>
  <si>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</si>
  <si>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</si>
  <si>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</si>
  <si>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</si>
  <si>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</si>
  <si>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</si>
  <si>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</si>
  <si>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</si>
  <si>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</si>
  <si>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</si>
  <si>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</si>
  <si>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</si>
  <si>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</si>
  <si>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</si>
  <si>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</si>
  <si>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</si>
  <si>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</si>
  <si>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</si>
  <si>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</si>
  <si>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</si>
  <si>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</si>
  <si>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</si>
  <si>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</si>
  <si>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</si>
  <si>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</si>
  <si>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</si>
  <si>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</si>
  <si>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</si>
  <si>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</si>
  <si>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</si>
  <si>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</si>
  <si>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</si>
  <si>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</si>
  <si>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</si>
  <si>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</si>
  <si>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</si>
  <si>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</si>
  <si>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</si>
  <si>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</si>
  <si>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</si>
  <si>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</si>
  <si>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</si>
  <si>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</si>
  <si>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</si>
  <si>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</si>
  <si>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</si>
  <si>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</si>
  <si>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</si>
  <si>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</si>
  <si>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</si>
  <si>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</si>
  <si>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</si>
  <si>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</si>
  <si>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</si>
  <si>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</si>
  <si>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</si>
  <si>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</si>
  <si>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</si>
  <si>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</si>
  <si>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</si>
  <si>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</si>
  <si>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</si>
  <si>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</si>
  <si>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</si>
  <si>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</si>
  <si>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</si>
  <si>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</si>
  <si>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</si>
  <si>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</si>
  <si>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</si>
  <si>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</si>
  <si>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</si>
  <si>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</si>
  <si>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</si>
  <si>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</si>
  <si>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</si>
  <si>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</si>
  <si>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</si>
  <si>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</si>
  <si>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</si>
  <si>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</si>
  <si>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</si>
  <si>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</si>
  <si>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</si>
  <si>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</si>
  <si>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</si>
  <si>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</si>
  <si>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</si>
  <si>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</si>
  <si>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</si>
  <si>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</si>
  <si>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</si>
  <si>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</si>
  <si>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</si>
  <si>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</si>
  <si>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</si>
  <si>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</si>
  <si>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</si>
  <si>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</si>
  <si>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</si>
  <si>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</si>
  <si>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</si>
  <si>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</si>
  <si>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</si>
  <si>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</si>
  <si>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</si>
  <si>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</si>
  <si>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</si>
  <si>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</si>
  <si>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</si>
  <si>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</si>
  <si>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</si>
  <si>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</si>
  <si>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</si>
  <si>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</si>
  <si>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</si>
  <si>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</si>
  <si>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</si>
  <si>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</si>
  <si>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</si>
  <si>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</si>
  <si>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</si>
  <si>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</si>
  <si>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</si>
  <si>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</si>
  <si>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</si>
  <si>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</si>
  <si>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</si>
  <si>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</si>
  <si>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</si>
  <si>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</si>
  <si>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</si>
  <si>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</si>
  <si>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</si>
  <si>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</si>
  <si>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</si>
  <si>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</si>
  <si>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</si>
  <si>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</si>
  <si>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</si>
  <si>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</si>
  <si>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</si>
  <si>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</si>
  <si>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</si>
  <si>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</si>
  <si>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</si>
  <si>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</si>
  <si>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</si>
  <si>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</si>
  <si>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</si>
  <si>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</si>
  <si>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</si>
  <si>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</si>
  <si>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</si>
  <si>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</si>
  <si>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</si>
  <si>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</si>
  <si>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</si>
  <si>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</si>
  <si>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</si>
  <si>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</si>
  <si>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</si>
  <si>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</si>
  <si>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</si>
  <si>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</si>
  <si>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</si>
  <si>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</si>
  <si>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</si>
  <si>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</si>
  <si>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</si>
  <si>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</si>
  <si>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</si>
  <si>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</si>
  <si>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</si>
  <si>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</si>
  <si>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</si>
  <si>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</si>
  <si>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</si>
  <si>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</si>
  <si>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</si>
  <si>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</si>
  <si>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</si>
  <si>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</si>
  <si>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</si>
  <si>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</si>
  <si>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</si>
  <si>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</si>
  <si>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</si>
  <si>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</si>
  <si>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</si>
  <si>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</si>
  <si>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</si>
  <si>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</si>
  <si>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</si>
  <si>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</si>
  <si>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</si>
  <si>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</si>
  <si>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</si>
  <si>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</si>
  <si>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</si>
  <si>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</si>
  <si>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</si>
  <si>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</si>
  <si>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</si>
  <si>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</si>
  <si>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</si>
  <si>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</si>
  <si>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</si>
  <si>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</si>
  <si>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</si>
  <si>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</si>
  <si>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</si>
  <si>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</si>
  <si>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</si>
  <si>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</si>
  <si>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</si>
  <si>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</si>
  <si>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</si>
  <si>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</si>
  <si>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</si>
  <si>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</si>
  <si>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</si>
  <si>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</si>
  <si>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</si>
  <si>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</si>
  <si>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</si>
  <si>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</si>
  <si>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</si>
  <si>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</si>
  <si>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</si>
  <si>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</si>
  <si>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</si>
  <si>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</si>
  <si>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</si>
  <si>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</si>
  <si>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</si>
  <si>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</si>
  <si>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</si>
  <si>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</si>
  <si>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</si>
  <si>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</si>
  <si>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</si>
  <si>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</si>
  <si>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</si>
  <si>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</si>
  <si>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</si>
  <si>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</si>
  <si>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</si>
  <si>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</si>
  <si>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</si>
  <si>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</si>
  <si>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</si>
  <si>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</si>
  <si>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</si>
  <si>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</si>
  <si>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</si>
  <si>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</si>
  <si>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</si>
  <si>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</si>
  <si>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</si>
  <si>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</si>
  <si>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</si>
  <si>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</si>
  <si>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</si>
  <si>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</si>
  <si>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</si>
  <si>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</si>
  <si>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</si>
  <si>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</si>
  <si>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</si>
  <si>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</si>
  <si>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</si>
  <si>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</si>
  <si>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</si>
  <si>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</si>
  <si>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</si>
  <si>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</si>
  <si>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</si>
  <si>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</si>
  <si>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</si>
  <si>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</si>
  <si>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</si>
  <si>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</si>
  <si>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</si>
  <si>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</si>
  <si>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</si>
  <si>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</si>
  <si>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</si>
  <si>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</si>
  <si>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</si>
  <si>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</si>
  <si>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</si>
  <si>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</si>
  <si>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</si>
  <si>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</si>
  <si>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</si>
  <si>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</si>
  <si>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</si>
  <si>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</si>
  <si>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</si>
  <si>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</si>
  <si>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</si>
  <si>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</si>
  <si>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</si>
  <si>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</si>
  <si>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</si>
  <si>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</si>
  <si>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</si>
  <si>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</si>
  <si>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</si>
  <si>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</si>
  <si>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</si>
  <si>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</si>
  <si>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</si>
  <si>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</si>
  <si>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</si>
  <si>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</si>
  <si>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</si>
  <si>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</si>
  <si>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</si>
  <si>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</si>
  <si>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</si>
  <si>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</si>
  <si>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</si>
  <si>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</si>
  <si>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</si>
  <si>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</si>
  <si>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</si>
  <si>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</si>
  <si>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</si>
  <si>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</si>
  <si>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</si>
  <si>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</si>
  <si>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</si>
  <si>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</si>
  <si>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</si>
  <si>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</si>
  <si>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</si>
  <si>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</si>
  <si>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</si>
  <si>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</si>
  <si>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</si>
  <si>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</si>
  <si>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</si>
  <si>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2" type="noConversion"/>
  </si>
  <si>
    <t>소득세의 10%</t>
    <phoneticPr fontId="2" type="noConversion"/>
  </si>
  <si>
    <t>총지급액
(과세소득)</t>
    <phoneticPr fontId="2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</si>
  <si>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2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</si>
  <si>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</si>
  <si>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</si>
  <si>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</si>
  <si>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</si>
  <si>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</si>
  <si>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보험구분</t>
    <phoneticPr fontId="23" type="noConversion"/>
  </si>
  <si>
    <t>5</t>
    <phoneticPr fontId="2" type="noConversion"/>
  </si>
  <si>
    <t>산재보험</t>
    <phoneticPr fontId="23" type="noConversion"/>
  </si>
  <si>
    <t>고용보험</t>
    <phoneticPr fontId="23" type="noConversion"/>
  </si>
  <si>
    <t>산재 및 고용보험</t>
    <phoneticPr fontId="23" type="noConversion"/>
  </si>
  <si>
    <t>내용</t>
    <phoneticPr fontId="23" type="noConversion"/>
  </si>
  <si>
    <t>코드</t>
    <phoneticPr fontId="23" type="noConversion"/>
  </si>
  <si>
    <t>이직사유</t>
    <phoneticPr fontId="23" type="noConversion"/>
  </si>
  <si>
    <t>회사의 사정에 의한 이직 - 폐업, 공사중단, 공사종료, 계약기간 만료 등</t>
    <phoneticPr fontId="23" type="noConversion"/>
  </si>
  <si>
    <t>부득이한 개인 사정에 의한 이직 - 질병, 부상, 출산 등</t>
    <phoneticPr fontId="23" type="noConversion"/>
  </si>
  <si>
    <t>기타 개인사정에 의한 이직 - 전직, 자영업을 위한 이직 등</t>
    <phoneticPr fontId="23" type="noConversion"/>
  </si>
  <si>
    <t>H-2-91</t>
    <phoneticPr fontId="8" type="noConversion"/>
  </si>
  <si>
    <t xml:space="preserve">기타방취 </t>
    <phoneticPr fontId="8" type="noConversion"/>
  </si>
  <si>
    <t>기타(자격변경자포함)</t>
    <phoneticPr fontId="8" type="noConversion"/>
  </si>
  <si>
    <t>체류자격</t>
    <phoneticPr fontId="2" type="noConversion"/>
  </si>
  <si>
    <t>보수지급기초일수</t>
    <phoneticPr fontId="2" type="noConversion"/>
  </si>
  <si>
    <t>임금총액</t>
    <phoneticPr fontId="2" type="noConversion"/>
  </si>
  <si>
    <t>일평균
근로시간</t>
    <phoneticPr fontId="2" type="noConversion"/>
  </si>
  <si>
    <t>보수지급
기초일수</t>
    <phoneticPr fontId="2" type="noConversion"/>
  </si>
  <si>
    <t>YYYYMM 형식으로 기재 (예: 2010년2월의 경우 "201002"로 기재)
근로신고 확인신고서에 신고할 해당 년월을 기재 (등록된 근로자는 모두 동일한 년월을 기재함)</t>
    <phoneticPr fontId="2" type="noConversion"/>
  </si>
  <si>
    <t>근로자의 국적코드 (국적코드표 참조)</t>
    <phoneticPr fontId="2" type="noConversion"/>
  </si>
  <si>
    <t>체류자격코드 시트 참조("-" 제외)</t>
    <phoneticPr fontId="2" type="noConversion"/>
  </si>
  <si>
    <t>지역번호 (휴대폰의 경우 01x)</t>
    <phoneticPr fontId="2" type="noConversion"/>
  </si>
  <si>
    <t>국번</t>
    <phoneticPr fontId="2" type="noConversion"/>
  </si>
  <si>
    <t>전화번호 뒷자리</t>
    <phoneticPr fontId="2" type="noConversion"/>
  </si>
  <si>
    <t>한국고용직업분류 중 소분류(136개) 직종현황 참고하여 기재</t>
    <phoneticPr fontId="2" type="noConversion"/>
  </si>
  <si>
    <t>근로한 날짜에 "1" 기재</t>
    <phoneticPr fontId="2" type="noConversion"/>
  </si>
  <si>
    <t>13자리 숫자만 적습니다.("-" 제외)</t>
    <phoneticPr fontId="2" type="noConversion"/>
  </si>
  <si>
    <t>한달간 근로한 일 수</t>
    <phoneticPr fontId="2" type="noConversion"/>
  </si>
  <si>
    <t>일평균근로시간</t>
    <phoneticPr fontId="2" type="noConversion"/>
  </si>
  <si>
    <t>"소득세법" 제20조에 따른 근로소득에서 같은 법 제12조제3호에 따른 비과세 근로소득을 뺀 금액으로서, 
  해당 월에 발생된 금액</t>
    <phoneticPr fontId="2" type="noConversion"/>
  </si>
  <si>
    <t>"근로기준법" 제2조에 따른 임금으로서, 해당 월에 발생된 금액 기재</t>
    <phoneticPr fontId="2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</si>
  <si>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2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</si>
  <si>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2" type="noConversion"/>
  </si>
  <si>
    <t>보험료 부과구분 부호를 참고하여 해당자만 기재</t>
    <phoneticPr fontId="2" type="noConversion"/>
  </si>
  <si>
    <t>보험료 부과구분 부호를 참고하여 해당자만 기재</t>
    <phoneticPr fontId="2" type="noConversion"/>
  </si>
  <si>
    <t>※ 21 ~ 25 항목에 대한 궁금한 사항은 국세청(국번없이 126번)으로 문의하시기 바랍니다.</t>
    <phoneticPr fontId="2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</si>
  <si>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2" type="noConversion"/>
  </si>
  <si>
    <t>"지급월" 항목이 
기재되지 않으면
국세청으로 
전송되지 
않습니다.
(나머지 항목은
미기재시 
0원신고로
전송됨에 유의)</t>
    <phoneticPr fontId="2" type="noConversion"/>
  </si>
  <si>
    <t>http://www.4insure.or.kr/pbiz/cmmn/selectComCdList.do?comCdClsfId=D108</t>
  </si>
  <si>
    <t>http://www.4insure.or.kr/pbiz/cmmn/selectComCdList.do?comCdClsfId=C201</t>
  </si>
  <si>
    <t>김미경</t>
    <phoneticPr fontId="30" type="noConversion"/>
  </si>
  <si>
    <t>202409</t>
    <phoneticPr fontId="30" type="noConversion"/>
  </si>
  <si>
    <t>신양희</t>
    <phoneticPr fontId="30" type="noConversion"/>
  </si>
  <si>
    <t>김미정</t>
    <phoneticPr fontId="30" type="noConversion"/>
  </si>
  <si>
    <t>이은석</t>
    <phoneticPr fontId="30" type="noConversion"/>
  </si>
  <si>
    <t>지숙희</t>
    <phoneticPr fontId="30" type="noConversion"/>
  </si>
  <si>
    <t>김호성</t>
    <phoneticPr fontId="30" type="noConversion"/>
  </si>
  <si>
    <t>김예슬</t>
    <phoneticPr fontId="30" type="noConversion"/>
  </si>
  <si>
    <t>남은율</t>
    <phoneticPr fontId="30" type="noConversion"/>
  </si>
  <si>
    <t>이순득</t>
    <phoneticPr fontId="30" type="noConversion"/>
  </si>
  <si>
    <t>김해림</t>
    <phoneticPr fontId="30" type="noConversion"/>
  </si>
  <si>
    <t>이화영</t>
    <phoneticPr fontId="30" type="noConversion"/>
  </si>
  <si>
    <t>김영오</t>
    <phoneticPr fontId="30" type="noConversion"/>
  </si>
  <si>
    <t>박광범</t>
    <phoneticPr fontId="30" type="noConversion"/>
  </si>
  <si>
    <t>홍영희</t>
    <phoneticPr fontId="30" type="noConversion"/>
  </si>
  <si>
    <t>허자야</t>
    <phoneticPr fontId="30" type="noConversion"/>
  </si>
  <si>
    <t>박태이</t>
    <phoneticPr fontId="30" type="noConversion"/>
  </si>
  <si>
    <t>김준영</t>
    <phoneticPr fontId="30" type="noConversion"/>
  </si>
  <si>
    <t>채수한</t>
    <phoneticPr fontId="30" type="noConversion"/>
  </si>
  <si>
    <t>김은경</t>
    <phoneticPr fontId="30" type="noConversion"/>
  </si>
  <si>
    <t>차동혁</t>
    <phoneticPr fontId="30" type="noConversion"/>
  </si>
  <si>
    <t>김예찬</t>
    <phoneticPr fontId="30" type="noConversion"/>
  </si>
  <si>
    <t>이세연</t>
    <phoneticPr fontId="30" type="noConversion"/>
  </si>
  <si>
    <t>김인숙</t>
    <phoneticPr fontId="30" type="noConversion"/>
  </si>
  <si>
    <t>정세윤</t>
    <phoneticPr fontId="30" type="noConversion"/>
  </si>
  <si>
    <t>하승현</t>
    <phoneticPr fontId="30" type="noConversion"/>
  </si>
  <si>
    <t>이경아</t>
    <phoneticPr fontId="30" type="noConversion"/>
  </si>
  <si>
    <t>김민서</t>
    <phoneticPr fontId="30" type="noConversion"/>
  </si>
  <si>
    <t>김승현</t>
    <phoneticPr fontId="30" type="noConversion"/>
  </si>
  <si>
    <t>최진희</t>
    <phoneticPr fontId="30" type="noConversion"/>
  </si>
  <si>
    <t>정옥선</t>
    <phoneticPr fontId="30" type="noConversion"/>
  </si>
  <si>
    <t>강미란</t>
    <phoneticPr fontId="30" type="noConversion"/>
  </si>
  <si>
    <t>이동호</t>
    <phoneticPr fontId="30" type="noConversion"/>
  </si>
  <si>
    <t>이숙녀</t>
    <phoneticPr fontId="30" type="noConversion"/>
  </si>
  <si>
    <t>이양산</t>
    <phoneticPr fontId="30" type="noConversion"/>
  </si>
  <si>
    <t>장옥연</t>
    <phoneticPr fontId="30" type="noConversion"/>
  </si>
  <si>
    <t>남점숙</t>
    <phoneticPr fontId="30" type="noConversion"/>
  </si>
  <si>
    <t>차승례</t>
    <phoneticPr fontId="30" type="noConversion"/>
  </si>
  <si>
    <t>김성수</t>
    <phoneticPr fontId="30" type="noConversion"/>
  </si>
  <si>
    <t>김광훈</t>
    <phoneticPr fontId="30" type="noConversion"/>
  </si>
  <si>
    <t>손병준</t>
    <phoneticPr fontId="30" type="noConversion"/>
  </si>
  <si>
    <t>이명옥</t>
    <phoneticPr fontId="30" type="noConversion"/>
  </si>
  <si>
    <t>박진모</t>
    <phoneticPr fontId="30" type="noConversion"/>
  </si>
  <si>
    <t>조미애</t>
    <phoneticPr fontId="30" type="noConversion"/>
  </si>
  <si>
    <t>남정옥</t>
    <phoneticPr fontId="30" type="noConversion"/>
  </si>
  <si>
    <t>최원정</t>
    <phoneticPr fontId="30" type="noConversion"/>
  </si>
  <si>
    <t>황윤석</t>
    <phoneticPr fontId="30" type="noConversion"/>
  </si>
  <si>
    <t>문복순</t>
    <phoneticPr fontId="30" type="noConversion"/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</si>
  <si>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</si>
  <si>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</si>
  <si>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</si>
  <si>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</si>
  <si>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</si>
  <si>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</si>
  <si>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</si>
  <si>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</si>
  <si>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</si>
  <si>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</si>
  <si>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</si>
  <si>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</si>
  <si>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</si>
  <si>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</si>
  <si>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</si>
  <si>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</si>
  <si>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</si>
  <si>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</si>
  <si>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</si>
  <si>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</si>
  <si>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</si>
  <si>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</si>
  <si>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</si>
  <si>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</si>
  <si>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</si>
  <si>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</si>
  <si>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</si>
  <si>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</si>
  <si>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</si>
  <si>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</si>
  <si>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</si>
  <si>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</si>
  <si>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</si>
  <si>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</si>
  <si>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</si>
  <si>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</si>
  <si>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</si>
  <si>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</si>
  <si>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</si>
  <si>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</si>
  <si>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</si>
  <si>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</si>
  <si>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</si>
  <si>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</si>
  <si>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</si>
  <si>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http://www.4insure.or.kr/pbiz/cmmn/selectComCdList.do?comCdClsfId=A151</t>
    <phoneticPr fontId="2" type="noConversion"/>
  </si>
  <si>
    <t>100</t>
  </si>
  <si>
    <t>02</t>
  </si>
  <si>
    <t>02</t>
    <phoneticPr fontId="2" type="noConversion"/>
  </si>
  <si>
    <t>538</t>
  </si>
  <si>
    <t>538</t>
    <phoneticPr fontId="2" type="noConversion"/>
  </si>
  <si>
    <t>6933</t>
  </si>
  <si>
    <t>6933</t>
    <phoneticPr fontId="2" type="noConversion"/>
  </si>
  <si>
    <t>615</t>
  </si>
  <si>
    <t>615</t>
    <phoneticPr fontId="2" type="noConversion"/>
  </si>
  <si>
    <t>3</t>
    <phoneticPr fontId="2" type="noConversion"/>
  </si>
  <si>
    <t>10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</si>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</sst>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3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11"/>
      <color theme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10" fillId="0" borderId="1" xfId="0" applyFont="1" applyBorder="1" applyAlignment="1">
      <alignment horizontal="justify" vertical="center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>
      <alignment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1" fillId="2" borderId="1" xfId="1" applyNumberFormat="1" applyFont="1" applyFill="1" applyBorder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1" fillId="3" borderId="1" xfId="1" applyNumberFormat="1" applyFont="1" applyFill="1" applyBorder="1" applyAlignment="1">
      <alignment horizontal="center" vertical="center" wrapText="1"/>
    </xf>
    <xf numFmtId="49" fontId="11" fillId="2" borderId="1" xfId="1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49" fontId="14" fillId="0" borderId="1" xfId="0" applyNumberFormat="1" applyFont="1" applyBorder="1">
      <alignment vertical="center"/>
    </xf>
    <xf numFmtId="49" fontId="14" fillId="0" borderId="1" xfId="0" applyNumberFormat="1" applyFont="1" applyBorder="1" applyAlignment="1">
      <alignment vertical="center" wrapText="1"/>
    </xf>
    <xf numFmtId="49" fontId="15" fillId="0" borderId="1" xfId="0" applyNumberFormat="1" applyFont="1" applyBorder="1">
      <alignment vertical="center"/>
    </xf>
    <xf numFmtId="49" fontId="15" fillId="0" borderId="2" xfId="0" applyNumberFormat="1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/>
    <xf numFmtId="0" fontId="15" fillId="0" borderId="1" xfId="0" applyFont="1" applyBorder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3" xfId="0" applyFont="1" applyBorder="1">
      <alignment vertical="center"/>
    </xf>
    <xf numFmtId="0" fontId="14" fillId="2" borderId="1" xfId="0" applyFont="1" applyFill="1" applyBorder="1" applyAlignment="1">
      <alignment horizontal="center" vertical="center"/>
    </xf>
    <xf numFmtId="49" fontId="14" fillId="0" borderId="1" xfId="0" quotePrefix="1" applyNumberFormat="1" applyFont="1" applyBorder="1">
      <alignment vertical="center"/>
    </xf>
    <xf numFmtId="49" fontId="14" fillId="0" borderId="1" xfId="0" quotePrefix="1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wrapText="1"/>
    </xf>
    <xf numFmtId="0" fontId="17" fillId="0" borderId="1" xfId="0" applyFont="1" applyBorder="1">
      <alignment vertical="center"/>
    </xf>
    <xf numFmtId="0" fontId="18" fillId="2" borderId="1" xfId="1" applyFont="1" applyFill="1" applyBorder="1" applyAlignment="1">
      <alignment horizontal="center" vertical="center"/>
    </xf>
    <xf numFmtId="176" fontId="18" fillId="2" borderId="1" xfId="1" applyNumberFormat="1" applyFont="1" applyFill="1" applyBorder="1" applyAlignment="1">
      <alignment horizontal="center" vertical="center"/>
    </xf>
    <xf numFmtId="177" fontId="18" fillId="2" borderId="1" xfId="1" applyNumberFormat="1" applyFont="1" applyFill="1" applyBorder="1" applyAlignment="1">
      <alignment horizontal="center" vertical="center"/>
    </xf>
    <xf numFmtId="49" fontId="18" fillId="0" borderId="1" xfId="1" applyNumberFormat="1" applyFont="1" applyBorder="1" applyAlignment="1">
      <alignment horizontal="center" vertical="center"/>
    </xf>
    <xf numFmtId="177" fontId="18" fillId="0" borderId="1" xfId="1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5" fillId="0" borderId="0" xfId="0" applyNumberFormat="1" applyFont="1">
      <alignment vertical="center"/>
    </xf>
    <xf numFmtId="0" fontId="10" fillId="6" borderId="1" xfId="0" applyFont="1" applyFill="1" applyBorder="1" applyAlignment="1">
      <alignment horizontal="justify" vertical="center"/>
    </xf>
    <xf numFmtId="0" fontId="14" fillId="6" borderId="1" xfId="0" applyFont="1" applyFill="1" applyBorder="1" applyAlignment="1">
      <alignment horizontal="center" vertical="center"/>
    </xf>
    <xf numFmtId="177" fontId="18" fillId="6" borderId="1" xfId="1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49" fontId="24" fillId="0" borderId="1" xfId="0" applyNumberFormat="1" applyFont="1" applyBorder="1">
      <alignment vertical="center"/>
    </xf>
    <xf numFmtId="49" fontId="26" fillId="6" borderId="0" xfId="2" applyNumberFormat="1" applyFill="1"/>
    <xf numFmtId="49" fontId="28" fillId="6" borderId="0" xfId="2" applyNumberFormat="1" applyFont="1" applyFill="1"/>
    <xf numFmtId="0" fontId="28" fillId="6" borderId="0" xfId="2" applyFont="1" applyFill="1"/>
    <xf numFmtId="49" fontId="28" fillId="6" borderId="1" xfId="3" applyNumberFormat="1" applyFont="1" applyFill="1" applyBorder="1" applyAlignment="1" applyProtection="1"/>
    <xf numFmtId="49" fontId="29" fillId="6" borderId="1" xfId="4" applyNumberFormat="1" applyFill="1" applyBorder="1" applyAlignment="1" applyProtection="1"/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177" fontId="13" fillId="0" borderId="0" xfId="0" applyNumberFormat="1" applyFont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6">
    <cellStyle name="표준" xfId="0" builtinId="0"/>
    <cellStyle name="표준 2" xfId="2" xr:uid="{00000000-0005-0000-0000-000001000000}"/>
    <cellStyle name="표준 3" xfId="5" xr:uid="{B19CAB87-5602-40AC-A9FB-FDC2D2D11D21}"/>
    <cellStyle name="표준_작성예" xfId="1" xr:uid="{00000000-0005-0000-0000-000002000000}"/>
    <cellStyle name="하이퍼링크" xfId="4" builtinId="8"/>
    <cellStyle name="하이퍼링크 2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fd71992e22202cd/&#50629;&#47924;/2024/_&#47588;&#50900;&#51221;&#44592;&#50629;&#47924;/6.&#51068;&#50857;&#51649;4&#45824;&#48372;&#54744;/&#44540;&#47196;&#45236;&#50669;&#54869;&#51064;&#49888;&#44256;/&#44540;&#47196;&#45236;&#50857;&#51088;&#46041;&#5486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근무일표(자동화)"/>
      <sheetName val="근무일표연동"/>
      <sheetName val="금월 근로소득(데이터)"/>
      <sheetName val="근로내역신고서(작성)"/>
      <sheetName val=" "/>
      <sheetName val="일용주민번호"/>
    </sheetNames>
    <sheetDataSet>
      <sheetData sheetId="0"/>
      <sheetData sheetId="1">
        <row r="1">
          <cell r="B1">
            <v>2025</v>
          </cell>
          <cell r="C1">
            <v>5</v>
          </cell>
        </row>
        <row r="3">
          <cell r="B3" t="str">
            <v>공영숙</v>
          </cell>
        </row>
        <row r="4">
          <cell r="B4" t="str">
            <v>남점숙</v>
          </cell>
        </row>
        <row r="5">
          <cell r="B5" t="str">
            <v>조금연</v>
          </cell>
        </row>
        <row r="6">
          <cell r="B6" t="str">
            <v>윤숙정</v>
          </cell>
        </row>
        <row r="7">
          <cell r="B7" t="str">
            <v>황윤석</v>
          </cell>
        </row>
        <row r="8">
          <cell r="B8" t="str">
            <v>서미란</v>
          </cell>
        </row>
        <row r="9">
          <cell r="B9" t="str">
            <v>권종옥</v>
          </cell>
        </row>
        <row r="10">
          <cell r="B10" t="str">
            <v>김광훈</v>
          </cell>
        </row>
        <row r="11">
          <cell r="B11" t="str">
            <v>박재완</v>
          </cell>
        </row>
        <row r="12">
          <cell r="B12" t="str">
            <v>김영희</v>
          </cell>
        </row>
        <row r="13">
          <cell r="B13" t="str">
            <v>우지원</v>
          </cell>
        </row>
        <row r="14">
          <cell r="B14" t="str">
            <v>정옥선</v>
          </cell>
        </row>
        <row r="15">
          <cell r="B15" t="str">
            <v>박광범</v>
          </cell>
        </row>
        <row r="16">
          <cell r="B16" t="str">
            <v>권기남</v>
          </cell>
        </row>
        <row r="17">
          <cell r="B17" t="str">
            <v>김현정</v>
          </cell>
        </row>
        <row r="18">
          <cell r="B18" t="str">
            <v>방준수</v>
          </cell>
        </row>
        <row r="19">
          <cell r="B19" t="str">
            <v>김현철</v>
          </cell>
        </row>
        <row r="20">
          <cell r="B20" t="str">
            <v>김지은</v>
          </cell>
        </row>
        <row r="21">
          <cell r="B21" t="str">
            <v>조윤호</v>
          </cell>
        </row>
        <row r="22">
          <cell r="B22" t="str">
            <v>문명준</v>
          </cell>
        </row>
        <row r="23">
          <cell r="B23" t="str">
            <v>진희수</v>
          </cell>
        </row>
        <row r="24">
          <cell r="B24" t="str">
            <v>김귀숙</v>
          </cell>
        </row>
        <row r="25">
          <cell r="B25" t="str">
            <v>김정은</v>
          </cell>
        </row>
        <row r="26">
          <cell r="B26" t="str">
            <v>김정임</v>
          </cell>
        </row>
        <row r="27">
          <cell r="B27" t="str">
            <v>황혜진</v>
          </cell>
        </row>
        <row r="28">
          <cell r="B28" t="str">
            <v>김인수</v>
          </cell>
        </row>
      </sheetData>
      <sheetData sheetId="2"/>
      <sheetData sheetId="3"/>
      <sheetData sheetId="4"/>
      <sheetData sheetId="5">
        <row r="1">
          <cell r="A1" t="str">
            <v>이름</v>
          </cell>
          <cell r="B1" t="str">
            <v>주민번호</v>
          </cell>
        </row>
        <row r="2">
          <cell r="A2" t="str">
            <v>감현정</v>
          </cell>
          <cell r="B2" t="str">
            <v>7802262908312</v>
          </cell>
        </row>
        <row r="3">
          <cell r="A3" t="str">
            <v>강금의</v>
          </cell>
          <cell r="B3" t="str">
            <v>5809012850713</v>
          </cell>
        </row>
        <row r="4">
          <cell r="A4" t="str">
            <v>강동진</v>
          </cell>
          <cell r="B4" t="str">
            <v>9201141682910</v>
          </cell>
        </row>
        <row r="5">
          <cell r="A5" t="str">
            <v>강미란</v>
          </cell>
          <cell r="B5" t="str">
            <v>6611182822816</v>
          </cell>
        </row>
        <row r="6">
          <cell r="A6" t="str">
            <v>강부근</v>
          </cell>
          <cell r="B6" t="str">
            <v>6208121346415</v>
          </cell>
        </row>
        <row r="7">
          <cell r="A7" t="str">
            <v>강세연</v>
          </cell>
          <cell r="B7" t="str">
            <v>9401282822611</v>
          </cell>
        </row>
        <row r="8">
          <cell r="A8" t="str">
            <v>강세희</v>
          </cell>
          <cell r="B8" t="str">
            <v>8907262683116</v>
          </cell>
        </row>
        <row r="9">
          <cell r="A9" t="str">
            <v>고나윤</v>
          </cell>
          <cell r="B9" t="str">
            <v>9207092055915</v>
          </cell>
        </row>
        <row r="10">
          <cell r="A10" t="str">
            <v>고남숙</v>
          </cell>
          <cell r="B10" t="str">
            <v>5711302342214</v>
          </cell>
        </row>
        <row r="11">
          <cell r="A11" t="str">
            <v>구종선</v>
          </cell>
          <cell r="B11" t="str">
            <v>5702252912848</v>
          </cell>
        </row>
        <row r="12">
          <cell r="A12" t="str">
            <v>권민주</v>
          </cell>
          <cell r="B12" t="str">
            <v>5903242696817</v>
          </cell>
        </row>
        <row r="13">
          <cell r="A13" t="str">
            <v>권분임</v>
          </cell>
          <cell r="B13" t="str">
            <v>5803252772916</v>
          </cell>
        </row>
        <row r="14">
          <cell r="A14" t="str">
            <v>권은주</v>
          </cell>
          <cell r="B14" t="str">
            <v>8906292929710</v>
          </cell>
        </row>
        <row r="15">
          <cell r="A15" t="str">
            <v>권종옥</v>
          </cell>
          <cell r="B15" t="str">
            <v>6906162347927</v>
          </cell>
        </row>
        <row r="16">
          <cell r="A16" t="str">
            <v>김갑선</v>
          </cell>
          <cell r="B16" t="str">
            <v>6412262684611</v>
          </cell>
        </row>
        <row r="17">
          <cell r="A17" t="str">
            <v>김광훈</v>
          </cell>
          <cell r="B17" t="str">
            <v>5910101773413</v>
          </cell>
        </row>
        <row r="18">
          <cell r="A18" t="str">
            <v>김교순</v>
          </cell>
          <cell r="B18" t="str">
            <v>6309202018727</v>
          </cell>
        </row>
        <row r="19">
          <cell r="A19" t="str">
            <v>김나은</v>
          </cell>
          <cell r="B19" t="str">
            <v>9509272774516</v>
          </cell>
        </row>
        <row r="20">
          <cell r="A20" t="str">
            <v>김남준</v>
          </cell>
          <cell r="B20" t="str">
            <v>9901071113325</v>
          </cell>
        </row>
        <row r="21">
          <cell r="A21" t="str">
            <v>김남진</v>
          </cell>
          <cell r="B21" t="str">
            <v>8411251914219</v>
          </cell>
        </row>
        <row r="22">
          <cell r="A22" t="str">
            <v>김노을</v>
          </cell>
          <cell r="B22" t="str">
            <v>0405014686017</v>
          </cell>
        </row>
        <row r="23">
          <cell r="A23" t="str">
            <v>김대성</v>
          </cell>
          <cell r="B23" t="str">
            <v>0308103823316</v>
          </cell>
        </row>
        <row r="24">
          <cell r="A24" t="str">
            <v>김덕훈</v>
          </cell>
          <cell r="B24" t="str">
            <v>7510271703413</v>
          </cell>
        </row>
        <row r="25">
          <cell r="A25" t="str">
            <v>김동욱</v>
          </cell>
          <cell r="B25" t="str">
            <v>0101113220250</v>
          </cell>
        </row>
        <row r="26">
          <cell r="A26" t="str">
            <v>김동호</v>
          </cell>
          <cell r="B26" t="str">
            <v>9701041770611</v>
          </cell>
        </row>
        <row r="27">
          <cell r="A27" t="str">
            <v>김명희</v>
          </cell>
          <cell r="B27" t="str">
            <v>5609182030926</v>
          </cell>
        </row>
        <row r="28">
          <cell r="A28" t="str">
            <v>김미경</v>
          </cell>
          <cell r="B28" t="str">
            <v>9502022743225</v>
          </cell>
        </row>
        <row r="29">
          <cell r="A29" t="str">
            <v>김미정</v>
          </cell>
          <cell r="B29" t="str">
            <v>7312202717713</v>
          </cell>
        </row>
        <row r="30">
          <cell r="A30" t="str">
            <v>김민서</v>
          </cell>
          <cell r="B30" t="str">
            <v>0011243076619</v>
          </cell>
        </row>
        <row r="31">
          <cell r="A31" t="str">
            <v>김민성</v>
          </cell>
          <cell r="B31" t="str">
            <v>9408041102016</v>
          </cell>
        </row>
        <row r="32">
          <cell r="A32" t="str">
            <v>김민영</v>
          </cell>
          <cell r="B32" t="str">
            <v>0503164903815</v>
          </cell>
        </row>
        <row r="33">
          <cell r="A33" t="str">
            <v>김민현</v>
          </cell>
          <cell r="B33" t="str">
            <v>9012292684811</v>
          </cell>
        </row>
        <row r="34">
          <cell r="A34" t="str">
            <v>김봉해</v>
          </cell>
          <cell r="B34" t="str">
            <v>5508132823811</v>
          </cell>
        </row>
        <row r="35">
          <cell r="A35" t="str">
            <v>김상협</v>
          </cell>
          <cell r="B35" t="str">
            <v>7703031019252</v>
          </cell>
        </row>
        <row r="36">
          <cell r="A36" t="str">
            <v>김선실</v>
          </cell>
          <cell r="B36" t="str">
            <v>6604172327019</v>
          </cell>
        </row>
        <row r="37">
          <cell r="A37" t="str">
            <v>김선희</v>
          </cell>
          <cell r="B37" t="str">
            <v>6111012114028</v>
          </cell>
        </row>
        <row r="38">
          <cell r="A38" t="str">
            <v>김성수</v>
          </cell>
          <cell r="B38" t="str">
            <v>9706161697915</v>
          </cell>
        </row>
        <row r="39">
          <cell r="A39" t="str">
            <v>김세옥</v>
          </cell>
          <cell r="B39" t="str">
            <v>6709052343511</v>
          </cell>
        </row>
        <row r="40">
          <cell r="A40" t="str">
            <v>김숙화</v>
          </cell>
          <cell r="B40" t="str">
            <v>8805172822211</v>
          </cell>
        </row>
        <row r="41">
          <cell r="A41" t="str">
            <v>김숙희</v>
          </cell>
          <cell r="B41" t="str">
            <v>6603122684429</v>
          </cell>
        </row>
        <row r="42">
          <cell r="A42" t="str">
            <v>김순연</v>
          </cell>
          <cell r="B42" t="str">
            <v>6408012889925</v>
          </cell>
        </row>
        <row r="43">
          <cell r="A43" t="str">
            <v>김승현</v>
          </cell>
          <cell r="B43" t="str">
            <v>0102183908229</v>
          </cell>
        </row>
        <row r="44">
          <cell r="A44" t="str">
            <v>김연순</v>
          </cell>
          <cell r="B44" t="str">
            <v>7703142928321</v>
          </cell>
        </row>
        <row r="45">
          <cell r="A45" t="str">
            <v>김영희</v>
          </cell>
          <cell r="B45" t="str">
            <v>7309112711016</v>
          </cell>
        </row>
        <row r="46">
          <cell r="A46" t="str">
            <v>김예슬</v>
          </cell>
          <cell r="B46" t="str">
            <v>0105064698315</v>
          </cell>
        </row>
        <row r="47">
          <cell r="A47" t="str">
            <v>김예찬</v>
          </cell>
          <cell r="B47" t="str">
            <v>9406171831229</v>
          </cell>
        </row>
        <row r="48">
          <cell r="A48" t="str">
            <v>김옥귀</v>
          </cell>
          <cell r="B48" t="str">
            <v>5710022905917</v>
          </cell>
        </row>
        <row r="49">
          <cell r="A49" t="str">
            <v>김우송</v>
          </cell>
          <cell r="B49" t="str">
            <v>9706091861623</v>
          </cell>
        </row>
        <row r="50">
          <cell r="A50" t="str">
            <v>김윤년</v>
          </cell>
          <cell r="B50" t="str">
            <v>5906262894810</v>
          </cell>
        </row>
        <row r="51">
          <cell r="A51" t="str">
            <v>김은경</v>
          </cell>
          <cell r="B51" t="str">
            <v>7509232928015</v>
          </cell>
        </row>
        <row r="52">
          <cell r="A52" t="str">
            <v>김은주</v>
          </cell>
          <cell r="B52" t="str">
            <v>7208152636435</v>
          </cell>
        </row>
        <row r="53">
          <cell r="A53" t="str">
            <v>김은지</v>
          </cell>
          <cell r="B53" t="str">
            <v>0412074865810</v>
          </cell>
        </row>
        <row r="54">
          <cell r="A54" t="str">
            <v>김은희</v>
          </cell>
          <cell r="B54" t="str">
            <v>7709182109618</v>
          </cell>
        </row>
        <row r="55">
          <cell r="A55" t="str">
            <v>김인숙</v>
          </cell>
          <cell r="B55" t="str">
            <v>5906072105516</v>
          </cell>
        </row>
        <row r="56">
          <cell r="A56" t="str">
            <v>김재형</v>
          </cell>
          <cell r="B56" t="str">
            <v>9302281703616</v>
          </cell>
        </row>
        <row r="57">
          <cell r="A57" t="str">
            <v>김점선</v>
          </cell>
          <cell r="B57" t="str">
            <v>6111232797914</v>
          </cell>
        </row>
        <row r="58">
          <cell r="A58" t="str">
            <v>김주현</v>
          </cell>
          <cell r="B58" t="str">
            <v>9306272684826</v>
          </cell>
        </row>
        <row r="59">
          <cell r="A59" t="str">
            <v>김준영</v>
          </cell>
          <cell r="B59" t="str">
            <v>9901201108813</v>
          </cell>
        </row>
        <row r="60">
          <cell r="A60" t="str">
            <v>김지애</v>
          </cell>
          <cell r="B60" t="str">
            <v>7509122122211</v>
          </cell>
        </row>
        <row r="61">
          <cell r="A61" t="str">
            <v>김지은</v>
          </cell>
          <cell r="B61" t="str">
            <v>7711072836010</v>
          </cell>
        </row>
        <row r="62">
          <cell r="A62" t="str">
            <v>김지현</v>
          </cell>
          <cell r="B62" t="str">
            <v>9201042473518</v>
          </cell>
        </row>
        <row r="63">
          <cell r="A63" t="str">
            <v>김채은</v>
          </cell>
          <cell r="B63" t="str">
            <v>9505202770616</v>
          </cell>
        </row>
        <row r="64">
          <cell r="A64" t="str">
            <v>김춘해</v>
          </cell>
          <cell r="B64" t="str">
            <v>6104132038023</v>
          </cell>
        </row>
        <row r="65">
          <cell r="A65" t="str">
            <v>김혜리</v>
          </cell>
          <cell r="B65" t="str">
            <v>9505262798612</v>
          </cell>
        </row>
        <row r="66">
          <cell r="A66" t="str">
            <v>김혜영</v>
          </cell>
          <cell r="B66" t="str">
            <v>8412232823614</v>
          </cell>
        </row>
        <row r="67">
          <cell r="A67" t="str">
            <v>김혜지</v>
          </cell>
          <cell r="B67" t="str">
            <v>9811242111021</v>
          </cell>
        </row>
        <row r="68">
          <cell r="A68" t="str">
            <v>김혜진</v>
          </cell>
          <cell r="B68" t="str">
            <v>7604122917011</v>
          </cell>
        </row>
        <row r="69">
          <cell r="A69" t="str">
            <v>김호경</v>
          </cell>
          <cell r="B69" t="str">
            <v>6302182683239</v>
          </cell>
        </row>
        <row r="70">
          <cell r="A70" t="str">
            <v>김호진</v>
          </cell>
          <cell r="B70" t="str">
            <v>9804031902719</v>
          </cell>
        </row>
        <row r="71">
          <cell r="A71" t="str">
            <v>김효분</v>
          </cell>
          <cell r="B71" t="str">
            <v>5301282017615</v>
          </cell>
        </row>
        <row r="72">
          <cell r="A72" t="str">
            <v>남점숙</v>
          </cell>
          <cell r="B72" t="str">
            <v>6008182684328</v>
          </cell>
        </row>
        <row r="73">
          <cell r="A73" t="str">
            <v>남정옥</v>
          </cell>
          <cell r="B73" t="str">
            <v>5206042241317</v>
          </cell>
        </row>
        <row r="74">
          <cell r="A74" t="str">
            <v>노우정</v>
          </cell>
          <cell r="B74" t="str">
            <v>5510122929517</v>
          </cell>
        </row>
        <row r="75">
          <cell r="A75" t="str">
            <v>노은경</v>
          </cell>
          <cell r="B75" t="str">
            <v>7111182652921</v>
          </cell>
        </row>
        <row r="76">
          <cell r="A76" t="str">
            <v>도가민</v>
          </cell>
          <cell r="B76" t="str">
            <v>8007152797912</v>
          </cell>
        </row>
        <row r="77">
          <cell r="A77" t="str">
            <v>도재준</v>
          </cell>
          <cell r="B77" t="str">
            <v>8106251030518</v>
          </cell>
        </row>
        <row r="78">
          <cell r="A78" t="str">
            <v>도지훈</v>
          </cell>
          <cell r="B78" t="str">
            <v>9509091168212</v>
          </cell>
        </row>
        <row r="79">
          <cell r="A79" t="str">
            <v>문복순</v>
          </cell>
          <cell r="B79" t="str">
            <v>5804122908211</v>
          </cell>
        </row>
        <row r="80">
          <cell r="A80" t="str">
            <v>문지연</v>
          </cell>
          <cell r="B80" t="str">
            <v>9708052157214</v>
          </cell>
        </row>
        <row r="81">
          <cell r="A81" t="str">
            <v>문지현</v>
          </cell>
          <cell r="B81" t="str">
            <v>9306141853110</v>
          </cell>
        </row>
        <row r="82">
          <cell r="A82" t="str">
            <v>박가희</v>
          </cell>
          <cell r="B82" t="str">
            <v>9206142121615</v>
          </cell>
        </row>
        <row r="83">
          <cell r="A83" t="str">
            <v>박계옥</v>
          </cell>
          <cell r="B83" t="str">
            <v>7504152698418</v>
          </cell>
        </row>
        <row r="84">
          <cell r="A84" t="str">
            <v>박광범</v>
          </cell>
          <cell r="B84" t="str">
            <v>9810181110619</v>
          </cell>
        </row>
        <row r="85">
          <cell r="A85" t="str">
            <v>박기현</v>
          </cell>
          <cell r="B85" t="str">
            <v>0404213697312</v>
          </cell>
        </row>
        <row r="86">
          <cell r="A86" t="str">
            <v>박달순</v>
          </cell>
          <cell r="B86" t="str">
            <v>6208162120814</v>
          </cell>
        </row>
        <row r="87">
          <cell r="A87" t="str">
            <v>박미연</v>
          </cell>
          <cell r="B87" t="str">
            <v>6104012897332</v>
          </cell>
        </row>
        <row r="88">
          <cell r="A88" t="str">
            <v>박민재</v>
          </cell>
          <cell r="B88" t="str">
            <v>9210281055318</v>
          </cell>
        </row>
        <row r="89">
          <cell r="A89" t="str">
            <v>박성옥</v>
          </cell>
          <cell r="B89" t="str">
            <v>8503182849614</v>
          </cell>
        </row>
        <row r="90">
          <cell r="A90" t="str">
            <v>박세리</v>
          </cell>
          <cell r="B90" t="str">
            <v>8409282113634</v>
          </cell>
        </row>
        <row r="91">
          <cell r="A91" t="str">
            <v>박수빈</v>
          </cell>
          <cell r="B91" t="str">
            <v>7407102467023</v>
          </cell>
        </row>
        <row r="92">
          <cell r="A92" t="str">
            <v>박수현</v>
          </cell>
          <cell r="B92" t="str">
            <v>0107244860511</v>
          </cell>
        </row>
        <row r="93">
          <cell r="A93" t="str">
            <v>박슬기</v>
          </cell>
          <cell r="B93" t="str">
            <v>9209042214111</v>
          </cell>
        </row>
        <row r="94">
          <cell r="A94" t="str">
            <v>박재완</v>
          </cell>
          <cell r="B94" t="str">
            <v>8911281093111</v>
          </cell>
        </row>
        <row r="95">
          <cell r="A95" t="str">
            <v>박지수</v>
          </cell>
          <cell r="B95" t="str">
            <v>9506042865435</v>
          </cell>
        </row>
        <row r="96">
          <cell r="A96" t="str">
            <v>박지원</v>
          </cell>
          <cell r="B96" t="str">
            <v>0309033126531</v>
          </cell>
        </row>
        <row r="97">
          <cell r="A97" t="str">
            <v>박진모</v>
          </cell>
          <cell r="B97" t="str">
            <v>9304291110114</v>
          </cell>
        </row>
        <row r="98">
          <cell r="A98" t="str">
            <v>박찬제</v>
          </cell>
          <cell r="B98" t="str">
            <v>0012153685519</v>
          </cell>
        </row>
        <row r="99">
          <cell r="A99" t="str">
            <v>박철현</v>
          </cell>
          <cell r="B99" t="str">
            <v>9211061056320</v>
          </cell>
        </row>
        <row r="100">
          <cell r="A100" t="str">
            <v>박혜흠</v>
          </cell>
          <cell r="B100" t="str">
            <v>9805301850519</v>
          </cell>
        </row>
        <row r="101">
          <cell r="A101" t="str">
            <v>방태겸</v>
          </cell>
          <cell r="B101" t="str">
            <v>8812281163122</v>
          </cell>
        </row>
        <row r="102">
          <cell r="A102" t="str">
            <v>배석준</v>
          </cell>
          <cell r="B102" t="str">
            <v>9702201155327</v>
          </cell>
        </row>
        <row r="103">
          <cell r="A103" t="str">
            <v>배윤자</v>
          </cell>
          <cell r="B103" t="str">
            <v>6010032772611</v>
          </cell>
        </row>
        <row r="104">
          <cell r="A104" t="str">
            <v>배은비</v>
          </cell>
          <cell r="B104" t="str">
            <v>9801142697820</v>
          </cell>
        </row>
        <row r="105">
          <cell r="A105" t="str">
            <v>배점숙</v>
          </cell>
          <cell r="B105" t="str">
            <v>6705262798014</v>
          </cell>
        </row>
        <row r="106">
          <cell r="A106" t="str">
            <v>배희정</v>
          </cell>
          <cell r="B106" t="str">
            <v>7508052823212</v>
          </cell>
        </row>
        <row r="107">
          <cell r="A107" t="str">
            <v>백승자</v>
          </cell>
          <cell r="B107" t="str">
            <v>6210262772818</v>
          </cell>
        </row>
        <row r="108">
          <cell r="A108" t="str">
            <v>백이삭</v>
          </cell>
          <cell r="B108" t="str">
            <v>9611111095219</v>
          </cell>
        </row>
        <row r="109">
          <cell r="A109" t="str">
            <v>백종순</v>
          </cell>
          <cell r="B109" t="str">
            <v>5504022624521</v>
          </cell>
        </row>
        <row r="110">
          <cell r="A110" t="str">
            <v>백지훈</v>
          </cell>
          <cell r="B110" t="str">
            <v>8406231904214</v>
          </cell>
        </row>
        <row r="111">
          <cell r="A111" t="str">
            <v>사공무룡</v>
          </cell>
          <cell r="B111" t="str">
            <v>4903011696015</v>
          </cell>
        </row>
        <row r="112">
          <cell r="A112" t="str">
            <v>서명희</v>
          </cell>
          <cell r="B112" t="str">
            <v>9009272676213</v>
          </cell>
        </row>
        <row r="113">
          <cell r="A113" t="str">
            <v>서미란</v>
          </cell>
          <cell r="B113" t="str">
            <v>5412092684210</v>
          </cell>
        </row>
        <row r="114">
          <cell r="A114" t="str">
            <v>서범석</v>
          </cell>
          <cell r="B114" t="str">
            <v>8806141140713</v>
          </cell>
        </row>
        <row r="115">
          <cell r="A115" t="str">
            <v>서성윤</v>
          </cell>
          <cell r="B115" t="str">
            <v>9401271860223</v>
          </cell>
        </row>
        <row r="116">
          <cell r="A116" t="str">
            <v>서연화</v>
          </cell>
          <cell r="B116" t="str">
            <v>6511272892620</v>
          </cell>
        </row>
        <row r="117">
          <cell r="A117" t="str">
            <v>서점두</v>
          </cell>
          <cell r="B117" t="str">
            <v>5109232120615</v>
          </cell>
        </row>
        <row r="118">
          <cell r="A118" t="str">
            <v>서주연</v>
          </cell>
          <cell r="B118" t="str">
            <v>0109204822921</v>
          </cell>
        </row>
        <row r="119">
          <cell r="A119" t="str">
            <v>석민경</v>
          </cell>
          <cell r="B119" t="str">
            <v>0310144824313</v>
          </cell>
        </row>
        <row r="120">
          <cell r="A120" t="str">
            <v>손병준</v>
          </cell>
          <cell r="B120" t="str">
            <v>9812031122610</v>
          </cell>
        </row>
        <row r="121">
          <cell r="A121" t="str">
            <v>손유정</v>
          </cell>
          <cell r="B121" t="str">
            <v>7404102902218</v>
          </cell>
        </row>
        <row r="122">
          <cell r="A122" t="str">
            <v>손점선</v>
          </cell>
          <cell r="B122" t="str">
            <v>4801042927219</v>
          </cell>
        </row>
        <row r="123">
          <cell r="A123" t="str">
            <v>손정미</v>
          </cell>
          <cell r="B123" t="str">
            <v>7305272791913</v>
          </cell>
        </row>
        <row r="124">
          <cell r="A124" t="str">
            <v>손정하</v>
          </cell>
          <cell r="B124" t="str">
            <v>8010092902210</v>
          </cell>
        </row>
        <row r="125">
          <cell r="A125" t="str">
            <v>손필남</v>
          </cell>
          <cell r="B125" t="str">
            <v>5903212908311</v>
          </cell>
        </row>
        <row r="126">
          <cell r="A126" t="str">
            <v>송승용</v>
          </cell>
          <cell r="B126" t="str">
            <v>0308083842011</v>
          </cell>
        </row>
        <row r="127">
          <cell r="A127" t="str">
            <v>송영훈</v>
          </cell>
          <cell r="B127" t="str">
            <v>0002283683716</v>
          </cell>
        </row>
        <row r="128">
          <cell r="A128" t="str">
            <v>신미경</v>
          </cell>
          <cell r="B128" t="str">
            <v>6304192017619</v>
          </cell>
        </row>
        <row r="129">
          <cell r="A129" t="str">
            <v>신미영</v>
          </cell>
          <cell r="B129" t="str">
            <v>8209032127512</v>
          </cell>
        </row>
        <row r="130">
          <cell r="A130" t="str">
            <v>신승현</v>
          </cell>
          <cell r="B130" t="str">
            <v>0112084677010</v>
          </cell>
        </row>
        <row r="131">
          <cell r="A131" t="str">
            <v>신양희</v>
          </cell>
          <cell r="B131" t="str">
            <v>7910202684837</v>
          </cell>
        </row>
        <row r="132">
          <cell r="A132" t="str">
            <v>신영원</v>
          </cell>
          <cell r="B132" t="str">
            <v>8012031727012</v>
          </cell>
        </row>
        <row r="133">
          <cell r="A133" t="str">
            <v>신유진</v>
          </cell>
          <cell r="B133" t="str">
            <v>9105012906419</v>
          </cell>
        </row>
        <row r="134">
          <cell r="A134" t="str">
            <v>신은미</v>
          </cell>
          <cell r="B134" t="str">
            <v>7210262524320</v>
          </cell>
        </row>
        <row r="135">
          <cell r="A135" t="str">
            <v>신효섭</v>
          </cell>
          <cell r="B135" t="str">
            <v>9710111920512</v>
          </cell>
        </row>
        <row r="136">
          <cell r="A136" t="str">
            <v>심영민</v>
          </cell>
          <cell r="B136" t="str">
            <v>0302133861926</v>
          </cell>
        </row>
        <row r="137">
          <cell r="A137" t="str">
            <v>심창영</v>
          </cell>
          <cell r="B137" t="str">
            <v>8411161100718</v>
          </cell>
        </row>
        <row r="138">
          <cell r="A138" t="str">
            <v>안경순</v>
          </cell>
          <cell r="B138" t="str">
            <v>6103022823612</v>
          </cell>
        </row>
        <row r="139">
          <cell r="A139" t="str">
            <v>안다경</v>
          </cell>
          <cell r="B139" t="str">
            <v>0208214823421</v>
          </cell>
        </row>
        <row r="140">
          <cell r="A140" t="str">
            <v>안보성</v>
          </cell>
          <cell r="B140" t="str">
            <v>7008156200394</v>
          </cell>
        </row>
        <row r="141">
          <cell r="A141" t="str">
            <v>안소영</v>
          </cell>
          <cell r="B141" t="str">
            <v>9401172158011</v>
          </cell>
        </row>
        <row r="142">
          <cell r="A142" t="str">
            <v>양경희</v>
          </cell>
          <cell r="B142" t="str">
            <v>7109152095819</v>
          </cell>
        </row>
        <row r="143">
          <cell r="A143" t="str">
            <v>양영금</v>
          </cell>
          <cell r="B143" t="str">
            <v>4811092452623</v>
          </cell>
        </row>
        <row r="144">
          <cell r="A144" t="str">
            <v>양혜민</v>
          </cell>
          <cell r="B144" t="str">
            <v>8311252635330</v>
          </cell>
        </row>
        <row r="145">
          <cell r="A145" t="str">
            <v>오복순</v>
          </cell>
          <cell r="B145" t="str">
            <v>6012162902127</v>
          </cell>
        </row>
        <row r="146">
          <cell r="A146" t="str">
            <v>오복자</v>
          </cell>
          <cell r="B146" t="str">
            <v>5209162902110</v>
          </cell>
        </row>
        <row r="147">
          <cell r="A147" t="str">
            <v>오승준</v>
          </cell>
          <cell r="B147" t="str">
            <v>0302123676827</v>
          </cell>
        </row>
        <row r="148">
          <cell r="A148" t="str">
            <v>오지선</v>
          </cell>
          <cell r="B148" t="str">
            <v>7309072953410</v>
          </cell>
        </row>
        <row r="149">
          <cell r="A149" t="str">
            <v>우지원</v>
          </cell>
          <cell r="B149" t="str">
            <v>6402122683117</v>
          </cell>
        </row>
        <row r="150">
          <cell r="A150" t="str">
            <v>우태윤</v>
          </cell>
          <cell r="B150" t="str">
            <v>7602291386316</v>
          </cell>
        </row>
        <row r="151">
          <cell r="A151" t="str">
            <v>유명숙</v>
          </cell>
          <cell r="B151" t="str">
            <v>6111132802612</v>
          </cell>
        </row>
        <row r="152">
          <cell r="A152" t="str">
            <v>유성현</v>
          </cell>
          <cell r="B152" t="str">
            <v>9804171865418</v>
          </cell>
        </row>
        <row r="153">
          <cell r="A153" t="str">
            <v>유혜수</v>
          </cell>
          <cell r="B153" t="str">
            <v>9211272853814</v>
          </cell>
        </row>
        <row r="154">
          <cell r="A154" t="str">
            <v>윤봉순</v>
          </cell>
          <cell r="B154" t="str">
            <v>5404072670914</v>
          </cell>
        </row>
        <row r="155">
          <cell r="A155" t="str">
            <v>윤숙정</v>
          </cell>
          <cell r="B155" t="str">
            <v>7704032798615</v>
          </cell>
        </row>
        <row r="156">
          <cell r="A156" t="str">
            <v>윤현숙</v>
          </cell>
          <cell r="B156" t="str">
            <v>6503272812928</v>
          </cell>
        </row>
        <row r="157">
          <cell r="A157" t="str">
            <v>윤희광</v>
          </cell>
          <cell r="B157" t="str">
            <v>0001193803221</v>
          </cell>
        </row>
        <row r="158">
          <cell r="A158" t="str">
            <v>이가영</v>
          </cell>
          <cell r="B158" t="str">
            <v>7004092347829</v>
          </cell>
        </row>
        <row r="159">
          <cell r="A159" t="str">
            <v>이경숙</v>
          </cell>
          <cell r="B159" t="str">
            <v>6009032675710</v>
          </cell>
        </row>
        <row r="160">
          <cell r="A160" t="str">
            <v>이경아</v>
          </cell>
          <cell r="B160" t="str">
            <v>8001222114211</v>
          </cell>
        </row>
        <row r="161">
          <cell r="A161" t="str">
            <v>이경희</v>
          </cell>
          <cell r="B161" t="str">
            <v>6703032805527</v>
          </cell>
        </row>
        <row r="162">
          <cell r="A162" t="str">
            <v>이귀녀</v>
          </cell>
          <cell r="B162" t="str">
            <v>5508252889816</v>
          </cell>
        </row>
        <row r="163">
          <cell r="A163" t="str">
            <v>이기승</v>
          </cell>
          <cell r="B163" t="str">
            <v>0310103929912</v>
          </cell>
        </row>
        <row r="164">
          <cell r="A164" t="str">
            <v>이나영</v>
          </cell>
          <cell r="B164" t="str">
            <v>0105194697911</v>
          </cell>
        </row>
        <row r="165">
          <cell r="A165" t="str">
            <v>이동호</v>
          </cell>
          <cell r="B165" t="str">
            <v>0606063908210</v>
          </cell>
        </row>
        <row r="166">
          <cell r="A166" t="str">
            <v>이명옥</v>
          </cell>
          <cell r="B166" t="str">
            <v>5804022908217</v>
          </cell>
        </row>
        <row r="167">
          <cell r="A167" t="str">
            <v>이명진</v>
          </cell>
          <cell r="B167" t="str">
            <v>0005113697816</v>
          </cell>
        </row>
        <row r="168">
          <cell r="A168" t="str">
            <v>이미숙</v>
          </cell>
          <cell r="B168" t="str">
            <v>6709222794215</v>
          </cell>
        </row>
        <row r="169">
          <cell r="A169" t="str">
            <v>이미연</v>
          </cell>
          <cell r="B169" t="str">
            <v>8311102902016</v>
          </cell>
        </row>
        <row r="170">
          <cell r="A170" t="str">
            <v>이민석</v>
          </cell>
          <cell r="B170" t="str">
            <v>0203043821819</v>
          </cell>
        </row>
        <row r="171">
          <cell r="A171" t="str">
            <v>이상록</v>
          </cell>
          <cell r="B171" t="str">
            <v>9706091127616</v>
          </cell>
        </row>
        <row r="172">
          <cell r="A172" t="str">
            <v>이성준</v>
          </cell>
          <cell r="B172" t="str">
            <v>0312113798112</v>
          </cell>
        </row>
        <row r="173">
          <cell r="A173" t="str">
            <v>이세연</v>
          </cell>
          <cell r="B173" t="str">
            <v>9908302249421</v>
          </cell>
        </row>
        <row r="174">
          <cell r="A174" t="str">
            <v>이수현</v>
          </cell>
          <cell r="B174" t="str">
            <v>5311152815023</v>
          </cell>
        </row>
        <row r="175">
          <cell r="A175" t="str">
            <v>이수희</v>
          </cell>
          <cell r="B175" t="str">
            <v>9309032658914</v>
          </cell>
        </row>
        <row r="176">
          <cell r="A176" t="str">
            <v>이숙녀</v>
          </cell>
          <cell r="B176" t="str">
            <v>6102282927918</v>
          </cell>
        </row>
        <row r="177">
          <cell r="A177" t="str">
            <v>이숙희</v>
          </cell>
          <cell r="B177" t="str">
            <v>6206222121511</v>
          </cell>
        </row>
        <row r="178">
          <cell r="A178" t="str">
            <v>이순득</v>
          </cell>
          <cell r="B178" t="str">
            <v>6207182671012</v>
          </cell>
        </row>
        <row r="179">
          <cell r="A179" t="str">
            <v>이순옥</v>
          </cell>
          <cell r="B179" t="str">
            <v>7512052837011</v>
          </cell>
        </row>
        <row r="180">
          <cell r="A180" t="str">
            <v>이순자</v>
          </cell>
          <cell r="B180" t="str">
            <v>5208012009618</v>
          </cell>
        </row>
        <row r="181">
          <cell r="A181" t="str">
            <v>이순혜</v>
          </cell>
          <cell r="B181" t="str">
            <v>0307124798110</v>
          </cell>
        </row>
        <row r="182">
          <cell r="A182" t="str">
            <v>이양산</v>
          </cell>
          <cell r="B182" t="str">
            <v>5702012908221</v>
          </cell>
        </row>
        <row r="183">
          <cell r="A183" t="str">
            <v>이양숙</v>
          </cell>
          <cell r="B183" t="str">
            <v>6205172794211</v>
          </cell>
        </row>
        <row r="184">
          <cell r="A184" t="str">
            <v>이양좌</v>
          </cell>
          <cell r="B184" t="str">
            <v>5702012908215</v>
          </cell>
        </row>
        <row r="185">
          <cell r="A185" t="str">
            <v>이언아</v>
          </cell>
          <cell r="B185" t="str">
            <v>8312082906111</v>
          </cell>
        </row>
        <row r="186">
          <cell r="A186" t="str">
            <v>이연원</v>
          </cell>
          <cell r="B186" t="str">
            <v>7002132683515</v>
          </cell>
        </row>
        <row r="187">
          <cell r="A187" t="str">
            <v>이완서</v>
          </cell>
          <cell r="B187" t="str">
            <v>9411102106711</v>
          </cell>
        </row>
        <row r="188">
          <cell r="A188" t="str">
            <v>이웅진</v>
          </cell>
          <cell r="B188" t="str">
            <v>9704301797822</v>
          </cell>
        </row>
        <row r="189">
          <cell r="A189" t="str">
            <v>이원재</v>
          </cell>
          <cell r="B189" t="str">
            <v>0002103920611</v>
          </cell>
        </row>
        <row r="190">
          <cell r="A190" t="str">
            <v>이은주</v>
          </cell>
          <cell r="B190" t="str">
            <v>7611102673921</v>
          </cell>
        </row>
        <row r="191">
          <cell r="A191" t="str">
            <v>이은희</v>
          </cell>
          <cell r="B191" t="str">
            <v>7104102830011</v>
          </cell>
        </row>
        <row r="192">
          <cell r="A192" t="str">
            <v>이재완</v>
          </cell>
          <cell r="B192" t="str">
            <v>0007113698216</v>
          </cell>
        </row>
        <row r="193">
          <cell r="A193" t="str">
            <v>이정란</v>
          </cell>
          <cell r="B193" t="str">
            <v>7705142581211</v>
          </cell>
        </row>
        <row r="194">
          <cell r="A194" t="str">
            <v>이정민</v>
          </cell>
          <cell r="B194" t="str">
            <v>9607182031813</v>
          </cell>
        </row>
        <row r="195">
          <cell r="A195" t="str">
            <v>이종숙</v>
          </cell>
          <cell r="B195" t="str">
            <v>6811192229029</v>
          </cell>
        </row>
        <row r="196">
          <cell r="A196" t="str">
            <v>이지아</v>
          </cell>
          <cell r="B196" t="str">
            <v>0006034696318</v>
          </cell>
        </row>
        <row r="197">
          <cell r="A197" t="str">
            <v>이지안</v>
          </cell>
          <cell r="B197" t="str">
            <v>6412052772811</v>
          </cell>
        </row>
        <row r="198">
          <cell r="A198" t="str">
            <v>이지연</v>
          </cell>
          <cell r="B198" t="str">
            <v>0710154727818</v>
          </cell>
        </row>
        <row r="199">
          <cell r="A199" t="str">
            <v>이채윤</v>
          </cell>
          <cell r="B199" t="str">
            <v>8210022853119</v>
          </cell>
        </row>
        <row r="200">
          <cell r="A200" t="str">
            <v>이하리</v>
          </cell>
          <cell r="B200" t="str">
            <v>9309242214213</v>
          </cell>
        </row>
        <row r="201">
          <cell r="A201" t="str">
            <v>이학민</v>
          </cell>
          <cell r="B201" t="str">
            <v>6810141841817</v>
          </cell>
        </row>
        <row r="202">
          <cell r="A202" t="str">
            <v>이해정</v>
          </cell>
          <cell r="B202" t="str">
            <v>7103032684115</v>
          </cell>
        </row>
        <row r="203">
          <cell r="A203" t="str">
            <v>이현정</v>
          </cell>
          <cell r="B203" t="str">
            <v>7412152822221</v>
          </cell>
        </row>
        <row r="204">
          <cell r="A204" t="str">
            <v>이호준</v>
          </cell>
          <cell r="B204" t="str">
            <v>0101263798119</v>
          </cell>
        </row>
        <row r="205">
          <cell r="A205" t="str">
            <v>이화백</v>
          </cell>
          <cell r="B205" t="str">
            <v>5011192113611</v>
          </cell>
        </row>
        <row r="206">
          <cell r="A206" t="str">
            <v>이효준</v>
          </cell>
          <cell r="B206" t="str">
            <v>0311293698311</v>
          </cell>
        </row>
        <row r="207">
          <cell r="A207" t="str">
            <v>임광열</v>
          </cell>
          <cell r="B207" t="str">
            <v>0101023481815</v>
          </cell>
        </row>
        <row r="208">
          <cell r="A208" t="str">
            <v>임서진</v>
          </cell>
          <cell r="B208" t="str">
            <v>0811143905913</v>
          </cell>
        </row>
        <row r="209">
          <cell r="A209" t="str">
            <v>임정희</v>
          </cell>
          <cell r="B209" t="str">
            <v>6401312670310</v>
          </cell>
        </row>
        <row r="210">
          <cell r="A210" t="str">
            <v>장민찬</v>
          </cell>
          <cell r="B210" t="str">
            <v>0006263685533</v>
          </cell>
        </row>
        <row r="211">
          <cell r="A211" t="str">
            <v>장선호</v>
          </cell>
          <cell r="B211" t="str">
            <v>9404121048219</v>
          </cell>
        </row>
        <row r="212">
          <cell r="A212" t="str">
            <v>장성준</v>
          </cell>
          <cell r="B212" t="str">
            <v>8107051806614</v>
          </cell>
        </row>
        <row r="213">
          <cell r="A213" t="str">
            <v>장순전</v>
          </cell>
          <cell r="B213" t="str">
            <v>5808282695611</v>
          </cell>
        </row>
        <row r="214">
          <cell r="A214" t="str">
            <v>장옥연</v>
          </cell>
          <cell r="B214" t="str">
            <v>6102192322012</v>
          </cell>
        </row>
        <row r="215">
          <cell r="A215" t="str">
            <v>장윤정</v>
          </cell>
          <cell r="B215" t="str">
            <v>6712012387014</v>
          </cell>
        </row>
        <row r="216">
          <cell r="A216" t="str">
            <v>장종진</v>
          </cell>
          <cell r="B216" t="str">
            <v>9812181837422</v>
          </cell>
        </row>
        <row r="217">
          <cell r="A217" t="str">
            <v>전구자</v>
          </cell>
          <cell r="B217" t="str">
            <v>5001162914915</v>
          </cell>
        </row>
        <row r="218">
          <cell r="A218" t="str">
            <v>전보경</v>
          </cell>
          <cell r="B218" t="str">
            <v>0011024095411</v>
          </cell>
        </row>
        <row r="219">
          <cell r="A219" t="str">
            <v>전수빈</v>
          </cell>
          <cell r="B219" t="str">
            <v>9804212326611</v>
          </cell>
        </row>
        <row r="220">
          <cell r="A220" t="str">
            <v>전승현</v>
          </cell>
          <cell r="B220" t="str">
            <v>0801123861240</v>
          </cell>
        </row>
        <row r="221">
          <cell r="A221" t="str">
            <v>전지우</v>
          </cell>
          <cell r="B221" t="str">
            <v>0312113731315</v>
          </cell>
        </row>
        <row r="222">
          <cell r="A222" t="str">
            <v>전혁</v>
          </cell>
          <cell r="B222" t="str">
            <v>6903261784114</v>
          </cell>
        </row>
        <row r="223">
          <cell r="A223" t="str">
            <v>전희재</v>
          </cell>
          <cell r="B223" t="str">
            <v>9112231120710</v>
          </cell>
        </row>
        <row r="224">
          <cell r="A224" t="str">
            <v>정가영</v>
          </cell>
          <cell r="B224" t="str">
            <v>0106094822821</v>
          </cell>
        </row>
        <row r="225">
          <cell r="A225" t="str">
            <v>정길자</v>
          </cell>
          <cell r="B225" t="str">
            <v>6211232902317</v>
          </cell>
        </row>
        <row r="226">
          <cell r="A226" t="str">
            <v>정다연</v>
          </cell>
          <cell r="B226" t="str">
            <v>9704222203116</v>
          </cell>
        </row>
        <row r="227">
          <cell r="A227" t="str">
            <v>정미지</v>
          </cell>
          <cell r="B227" t="str">
            <v>8810252122011</v>
          </cell>
        </row>
        <row r="228">
          <cell r="A228" t="str">
            <v>정서인</v>
          </cell>
          <cell r="B228" t="str">
            <v>6603062673829</v>
          </cell>
        </row>
        <row r="229">
          <cell r="A229" t="str">
            <v>정성민</v>
          </cell>
          <cell r="B229" t="str">
            <v>9412141358012</v>
          </cell>
        </row>
        <row r="230">
          <cell r="A230" t="str">
            <v>정세림</v>
          </cell>
          <cell r="B230" t="str">
            <v>0211114154814</v>
          </cell>
        </row>
        <row r="231">
          <cell r="A231" t="str">
            <v>정세윤</v>
          </cell>
          <cell r="B231" t="str">
            <v>9912062161819</v>
          </cell>
        </row>
        <row r="232">
          <cell r="A232" t="str">
            <v>정옥선</v>
          </cell>
          <cell r="B232" t="str">
            <v>5912052235616</v>
          </cell>
        </row>
        <row r="233">
          <cell r="A233" t="str">
            <v>정외자</v>
          </cell>
          <cell r="B233" t="str">
            <v>5203052906610</v>
          </cell>
        </row>
        <row r="234">
          <cell r="A234" t="str">
            <v>정은주</v>
          </cell>
          <cell r="B234" t="str">
            <v>6608132800510</v>
          </cell>
        </row>
        <row r="235">
          <cell r="A235" t="str">
            <v>정의황</v>
          </cell>
          <cell r="B235" t="str">
            <v>8504121683215</v>
          </cell>
        </row>
        <row r="236">
          <cell r="A236" t="str">
            <v>정재연</v>
          </cell>
          <cell r="B236" t="str">
            <v>8612211012416</v>
          </cell>
        </row>
        <row r="237">
          <cell r="A237" t="str">
            <v>정춘호</v>
          </cell>
          <cell r="B237" t="str">
            <v>9102221169814</v>
          </cell>
        </row>
        <row r="238">
          <cell r="A238" t="str">
            <v>정태훈</v>
          </cell>
          <cell r="B238" t="str">
            <v>0401103200519</v>
          </cell>
        </row>
        <row r="239">
          <cell r="A239" t="str">
            <v>조금연</v>
          </cell>
          <cell r="B239" t="str">
            <v>7208132771811</v>
          </cell>
        </row>
        <row r="240">
          <cell r="A240" t="str">
            <v>조기준</v>
          </cell>
          <cell r="B240" t="str">
            <v>9405181125818</v>
          </cell>
        </row>
        <row r="241">
          <cell r="A241" t="str">
            <v>조만환</v>
          </cell>
          <cell r="B241" t="str">
            <v>5305051683411</v>
          </cell>
        </row>
        <row r="242">
          <cell r="A242" t="str">
            <v>조민정</v>
          </cell>
          <cell r="B242" t="str">
            <v>9709142671010</v>
          </cell>
        </row>
        <row r="243">
          <cell r="A243" t="str">
            <v>조성민</v>
          </cell>
          <cell r="B243" t="str">
            <v>8411201824238</v>
          </cell>
        </row>
        <row r="244">
          <cell r="A244" t="str">
            <v>조아라</v>
          </cell>
          <cell r="B244" t="str">
            <v>8709192058820</v>
          </cell>
        </row>
        <row r="245">
          <cell r="A245" t="str">
            <v>조영수</v>
          </cell>
          <cell r="B245" t="str">
            <v>8906101081511</v>
          </cell>
        </row>
        <row r="246">
          <cell r="A246" t="str">
            <v>조해자</v>
          </cell>
          <cell r="B246" t="str">
            <v>5511122642918</v>
          </cell>
        </row>
        <row r="247">
          <cell r="A247" t="str">
            <v>주갑선</v>
          </cell>
          <cell r="B247" t="str">
            <v>8112302902219</v>
          </cell>
        </row>
        <row r="248">
          <cell r="A248" t="str">
            <v>주동찬</v>
          </cell>
          <cell r="B248" t="str">
            <v>8810191703011</v>
          </cell>
        </row>
        <row r="249">
          <cell r="A249" t="str">
            <v>주상기</v>
          </cell>
          <cell r="B249" t="str">
            <v>6001051902119</v>
          </cell>
        </row>
        <row r="250">
          <cell r="A250" t="str">
            <v>주세희</v>
          </cell>
          <cell r="B250" t="str">
            <v>9810082902116</v>
          </cell>
        </row>
        <row r="251">
          <cell r="A251" t="str">
            <v>주옥주</v>
          </cell>
          <cell r="B251" t="str">
            <v>7411012123110</v>
          </cell>
        </row>
        <row r="252">
          <cell r="A252" t="str">
            <v>지승환</v>
          </cell>
          <cell r="B252" t="str">
            <v>0305033550911</v>
          </cell>
        </row>
        <row r="253">
          <cell r="A253" t="str">
            <v>차동혁</v>
          </cell>
          <cell r="B253" t="str">
            <v>9910061824219</v>
          </cell>
        </row>
        <row r="254">
          <cell r="A254" t="str">
            <v>차승례</v>
          </cell>
          <cell r="B254" t="str">
            <v>7803012123711</v>
          </cell>
        </row>
        <row r="255">
          <cell r="A255" t="str">
            <v>최명순</v>
          </cell>
          <cell r="B255" t="str">
            <v>5201302120313</v>
          </cell>
        </row>
        <row r="256">
          <cell r="A256" t="str">
            <v>최민서</v>
          </cell>
          <cell r="B256" t="str">
            <v>0212184200614</v>
          </cell>
        </row>
        <row r="257">
          <cell r="A257" t="str">
            <v>최보영</v>
          </cell>
          <cell r="B257" t="str">
            <v>7709142674816</v>
          </cell>
        </row>
        <row r="258">
          <cell r="A258" t="str">
            <v>최성현</v>
          </cell>
          <cell r="B258" t="str">
            <v>9803201121027</v>
          </cell>
        </row>
        <row r="259">
          <cell r="A259" t="str">
            <v>최시은</v>
          </cell>
          <cell r="B259" t="str">
            <v>8801222121520</v>
          </cell>
        </row>
        <row r="260">
          <cell r="A260" t="str">
            <v>최예린</v>
          </cell>
          <cell r="B260" t="str">
            <v>0208024903811</v>
          </cell>
        </row>
        <row r="261">
          <cell r="A261" t="str">
            <v>최점식</v>
          </cell>
          <cell r="B261" t="str">
            <v>4812271908518</v>
          </cell>
        </row>
        <row r="262">
          <cell r="A262" t="str">
            <v>최정은</v>
          </cell>
          <cell r="B262" t="str">
            <v>7910072063129</v>
          </cell>
        </row>
        <row r="263">
          <cell r="A263" t="str">
            <v>최정희</v>
          </cell>
          <cell r="B263" t="str">
            <v>7009102691516</v>
          </cell>
        </row>
        <row r="264">
          <cell r="A264" t="str">
            <v>최진희</v>
          </cell>
          <cell r="B264" t="str">
            <v>7007172048018</v>
          </cell>
        </row>
        <row r="265">
          <cell r="A265" t="str">
            <v>최효리</v>
          </cell>
          <cell r="B265" t="str">
            <v>9911062692110</v>
          </cell>
        </row>
        <row r="266">
          <cell r="A266" t="str">
            <v>탁철규</v>
          </cell>
          <cell r="B266" t="str">
            <v>9610181108711</v>
          </cell>
        </row>
        <row r="267">
          <cell r="A267" t="str">
            <v>하승현</v>
          </cell>
          <cell r="B267" t="str">
            <v>8104101182917</v>
          </cell>
        </row>
        <row r="268">
          <cell r="A268" t="str">
            <v>하지수</v>
          </cell>
          <cell r="B268" t="str">
            <v>0512154122726</v>
          </cell>
        </row>
        <row r="269">
          <cell r="A269" t="str">
            <v>한정희</v>
          </cell>
          <cell r="B269" t="str">
            <v>6207092074119</v>
          </cell>
        </row>
        <row r="270">
          <cell r="A270" t="str">
            <v>한지혜</v>
          </cell>
          <cell r="B270" t="str">
            <v>9002242408710</v>
          </cell>
        </row>
        <row r="271">
          <cell r="A271" t="str">
            <v>허근영</v>
          </cell>
          <cell r="B271" t="str">
            <v>7604021110121</v>
          </cell>
        </row>
        <row r="272">
          <cell r="A272" t="str">
            <v>허인구</v>
          </cell>
          <cell r="B272" t="str">
            <v>5303161770516</v>
          </cell>
        </row>
        <row r="273">
          <cell r="A273" t="str">
            <v>허준우</v>
          </cell>
          <cell r="B273" t="str">
            <v>9705211113426</v>
          </cell>
        </row>
        <row r="274">
          <cell r="A274" t="str">
            <v>허지호</v>
          </cell>
          <cell r="B274" t="str">
            <v>0511293908227</v>
          </cell>
        </row>
        <row r="275">
          <cell r="A275" t="str">
            <v>호예찬</v>
          </cell>
          <cell r="B275" t="str">
            <v>0403203154918</v>
          </cell>
        </row>
        <row r="276">
          <cell r="A276" t="str">
            <v>홍영희</v>
          </cell>
          <cell r="B276" t="str">
            <v>6310282768210</v>
          </cell>
        </row>
        <row r="277">
          <cell r="A277" t="str">
            <v>홍인선</v>
          </cell>
          <cell r="B277" t="str">
            <v>9712311229013</v>
          </cell>
        </row>
        <row r="278">
          <cell r="A278" t="str">
            <v>황건주</v>
          </cell>
          <cell r="B278" t="str">
            <v>6111171011418</v>
          </cell>
        </row>
        <row r="279">
          <cell r="A279" t="str">
            <v>황서현</v>
          </cell>
          <cell r="B279" t="str">
            <v>0301084123419</v>
          </cell>
        </row>
        <row r="280">
          <cell r="A280" t="str">
            <v>황선희</v>
          </cell>
          <cell r="B280" t="str">
            <v>9004272126718</v>
          </cell>
        </row>
        <row r="281">
          <cell r="A281" t="str">
            <v>황순주</v>
          </cell>
          <cell r="B281" t="str">
            <v>5505052380517</v>
          </cell>
        </row>
        <row r="282">
          <cell r="A282" t="str">
            <v>황윤서</v>
          </cell>
          <cell r="B282" t="str">
            <v>0403154684918</v>
          </cell>
        </row>
        <row r="283">
          <cell r="A283" t="str">
            <v>황윤석</v>
          </cell>
          <cell r="B283" t="str">
            <v>9512161303319</v>
          </cell>
        </row>
        <row r="284">
          <cell r="A284" t="str">
            <v>황윤재</v>
          </cell>
          <cell r="B284" t="str">
            <v>0106064683818</v>
          </cell>
        </row>
        <row r="285">
          <cell r="A285" t="str">
            <v>황혜민</v>
          </cell>
          <cell r="B285" t="str">
            <v>9609142798513</v>
          </cell>
        </row>
        <row r="286">
          <cell r="A286" t="str">
            <v>김기림</v>
          </cell>
          <cell r="B286" t="str">
            <v>9709182124112</v>
          </cell>
        </row>
        <row r="287">
          <cell r="A287" t="str">
            <v>남진숙</v>
          </cell>
          <cell r="B287" t="str">
            <v>7204122774614</v>
          </cell>
        </row>
        <row r="288">
          <cell r="A288" t="str">
            <v>송혜선</v>
          </cell>
          <cell r="B288" t="str">
            <v>6310102674715</v>
          </cell>
        </row>
        <row r="289">
          <cell r="A289" t="str">
            <v>최봉용</v>
          </cell>
          <cell r="B289" t="str">
            <v>6608201453516</v>
          </cell>
        </row>
        <row r="290">
          <cell r="A290" t="str">
            <v>김누미</v>
          </cell>
          <cell r="B290" t="str">
            <v>6212282917315</v>
          </cell>
        </row>
        <row r="291">
          <cell r="A291" t="str">
            <v>박은정</v>
          </cell>
          <cell r="B291" t="str">
            <v>8706152905913</v>
          </cell>
        </row>
        <row r="292">
          <cell r="A292" t="str">
            <v>박상선</v>
          </cell>
          <cell r="B292" t="str">
            <v>8707051182515</v>
          </cell>
        </row>
        <row r="293">
          <cell r="A293" t="str">
            <v>김지윤</v>
          </cell>
          <cell r="B293" t="str">
            <v>6410142683611</v>
          </cell>
        </row>
        <row r="294">
          <cell r="A294" t="str">
            <v>조경임</v>
          </cell>
          <cell r="B294" t="str">
            <v>7603232674219</v>
          </cell>
        </row>
        <row r="295">
          <cell r="A295" t="str">
            <v>권기남</v>
          </cell>
          <cell r="B295" t="str">
            <v>0310153902315</v>
          </cell>
        </row>
        <row r="296">
          <cell r="A296" t="str">
            <v>박미경</v>
          </cell>
          <cell r="B296" t="str">
            <v>6707142177617</v>
          </cell>
        </row>
        <row r="297">
          <cell r="A297" t="str">
            <v>김태환</v>
          </cell>
          <cell r="B297" t="str">
            <v>8709051199515</v>
          </cell>
        </row>
        <row r="298">
          <cell r="A298" t="str">
            <v>김윤배</v>
          </cell>
          <cell r="B298" t="str">
            <v>6610082850710</v>
          </cell>
        </row>
        <row r="299">
          <cell r="A299" t="str">
            <v>김현정</v>
          </cell>
          <cell r="B299" t="str">
            <v>7412042109732</v>
          </cell>
        </row>
        <row r="300">
          <cell r="A300" t="str">
            <v>손보경</v>
          </cell>
          <cell r="B300" t="str">
            <v>0912184861410</v>
          </cell>
        </row>
        <row r="301">
          <cell r="A301" t="str">
            <v>이준영</v>
          </cell>
          <cell r="B301" t="str">
            <v>0203153123915</v>
          </cell>
        </row>
        <row r="302">
          <cell r="A302" t="str">
            <v>김영민</v>
          </cell>
          <cell r="B302" t="str">
            <v>0208123904116</v>
          </cell>
        </row>
        <row r="303">
          <cell r="A303" t="str">
            <v>박명희</v>
          </cell>
          <cell r="B303" t="str">
            <v>8601012929429</v>
          </cell>
        </row>
        <row r="304">
          <cell r="A304" t="str">
            <v>박효주</v>
          </cell>
          <cell r="B304" t="str">
            <v>7803032397313</v>
          </cell>
        </row>
        <row r="305">
          <cell r="A305" t="str">
            <v>오은진</v>
          </cell>
          <cell r="B305" t="str">
            <v>0304154109031</v>
          </cell>
        </row>
        <row r="306">
          <cell r="A306" t="str">
            <v>한연수</v>
          </cell>
          <cell r="B306" t="str">
            <v>0608204121211</v>
          </cell>
        </row>
        <row r="307">
          <cell r="A307" t="str">
            <v>유도온</v>
          </cell>
          <cell r="B307" t="str">
            <v>8509242852341</v>
          </cell>
        </row>
        <row r="308">
          <cell r="A308" t="str">
            <v>박세현</v>
          </cell>
          <cell r="B308" t="str">
            <v>9502051823310</v>
          </cell>
        </row>
        <row r="309">
          <cell r="A309" t="str">
            <v>강동현</v>
          </cell>
          <cell r="B309" t="str">
            <v>8801091113541</v>
          </cell>
        </row>
        <row r="310">
          <cell r="A310" t="str">
            <v>안주원</v>
          </cell>
          <cell r="B310" t="str">
            <v>9208032860510</v>
          </cell>
        </row>
        <row r="311">
          <cell r="A311" t="str">
            <v>윤소희</v>
          </cell>
          <cell r="B311" t="str">
            <v>0012064164518</v>
          </cell>
        </row>
        <row r="312">
          <cell r="A312" t="str">
            <v>이영아</v>
          </cell>
          <cell r="B312" t="str">
            <v>7803012121910</v>
          </cell>
        </row>
        <row r="313">
          <cell r="A313" t="str">
            <v>황현정</v>
          </cell>
          <cell r="B313" t="str">
            <v>7106242802417</v>
          </cell>
        </row>
        <row r="314">
          <cell r="A314" t="str">
            <v>김미성</v>
          </cell>
          <cell r="B314" t="str">
            <v>9004192674422</v>
          </cell>
        </row>
        <row r="315">
          <cell r="A315" t="str">
            <v>한종훈</v>
          </cell>
          <cell r="B315" t="str">
            <v>0212243120712</v>
          </cell>
        </row>
        <row r="316">
          <cell r="A316" t="str">
            <v>최은미</v>
          </cell>
          <cell r="B316" t="str">
            <v>8108012797825</v>
          </cell>
        </row>
        <row r="317">
          <cell r="A317" t="str">
            <v>김미진</v>
          </cell>
          <cell r="B317" t="str">
            <v>0103024693111</v>
          </cell>
        </row>
        <row r="318">
          <cell r="A318" t="str">
            <v>손현준</v>
          </cell>
          <cell r="B318" t="str">
            <v>0601293698616</v>
          </cell>
        </row>
        <row r="319">
          <cell r="A319" t="str">
            <v>정은서</v>
          </cell>
          <cell r="B319" t="str">
            <v>0106064722611</v>
          </cell>
        </row>
        <row r="320">
          <cell r="A320" t="str">
            <v>우준영</v>
          </cell>
          <cell r="B320" t="str">
            <v>6807232687056</v>
          </cell>
        </row>
        <row r="321">
          <cell r="A321" t="str">
            <v>손혜리</v>
          </cell>
          <cell r="B321" t="str">
            <v>6202152921232</v>
          </cell>
        </row>
        <row r="322">
          <cell r="A322" t="str">
            <v>하상오</v>
          </cell>
          <cell r="B322" t="str">
            <v>6001051120212</v>
          </cell>
        </row>
        <row r="323">
          <cell r="A323" t="str">
            <v>김영수</v>
          </cell>
          <cell r="B323" t="str">
            <v>9105171860619</v>
          </cell>
        </row>
        <row r="324">
          <cell r="A324" t="str">
            <v>신대은</v>
          </cell>
          <cell r="B324" t="str">
            <v>7406022167415</v>
          </cell>
        </row>
        <row r="325">
          <cell r="A325" t="str">
            <v>방준수</v>
          </cell>
          <cell r="B325" t="str">
            <v>9609301157829</v>
          </cell>
        </row>
        <row r="326">
          <cell r="A326" t="str">
            <v>김현철</v>
          </cell>
          <cell r="B326" t="str">
            <v>8304041849613</v>
          </cell>
        </row>
        <row r="327">
          <cell r="A327" t="str">
            <v>박옥선</v>
          </cell>
          <cell r="B327" t="str">
            <v>7302022010316</v>
          </cell>
        </row>
        <row r="328">
          <cell r="A328" t="str">
            <v>공영숙</v>
          </cell>
          <cell r="B328" t="str">
            <v>6410042798111</v>
          </cell>
        </row>
        <row r="329">
          <cell r="A329" t="str">
            <v>조윤호</v>
          </cell>
          <cell r="B329" t="str">
            <v>8909241106616</v>
          </cell>
        </row>
        <row r="330">
          <cell r="A330" t="str">
            <v>문명준</v>
          </cell>
          <cell r="B330" t="str">
            <v>8109161845918</v>
          </cell>
        </row>
        <row r="331">
          <cell r="A331" t="str">
            <v>진희수</v>
          </cell>
          <cell r="B331" t="str">
            <v>9003312120412</v>
          </cell>
        </row>
        <row r="332">
          <cell r="A332" t="str">
            <v>김귀숙</v>
          </cell>
          <cell r="B332" t="str">
            <v>6511032813516</v>
          </cell>
        </row>
        <row r="333">
          <cell r="A333" t="str">
            <v>김정은</v>
          </cell>
          <cell r="B333" t="str">
            <v>7505212835619</v>
          </cell>
        </row>
        <row r="334">
          <cell r="A334" t="str">
            <v>김정임</v>
          </cell>
          <cell r="B334" t="str">
            <v>7101152682725</v>
          </cell>
        </row>
        <row r="335">
          <cell r="A335" t="str">
            <v>황혜진</v>
          </cell>
          <cell r="B335" t="str">
            <v>8402272674511</v>
          </cell>
        </row>
        <row r="336">
          <cell r="A336" t="str">
            <v>김인수</v>
          </cell>
          <cell r="B336" t="str">
            <v>8901201203415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4insure.or.kr/pbiz/cmmn/selectComCdList.do?comCdClsfId=A15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27"/>
  <sheetViews>
    <sheetView tabSelected="1" topLeftCell="M1" zoomScale="85" zoomScaleNormal="85" workbookViewId="0">
      <pane ySplit="1" topLeftCell="A2" activePane="bottomLeft" state="frozen"/>
      <selection pane="bottomLeft" activeCell="AY2" sqref="AY2:AY27"/>
    </sheetView>
  </sheetViews>
  <sheetFormatPr defaultRowHeight="13.5" x14ac:dyDescent="0.3"/>
  <cols>
    <col min="1" max="1" width="8" style="14" bestFit="1" customWidth="1"/>
    <col min="2" max="2" width="8.125" style="14" bestFit="1" customWidth="1"/>
    <col min="3" max="3" width="18.125" style="14" bestFit="1" customWidth="1"/>
    <col min="4" max="4" width="6.75" style="14" bestFit="1" customWidth="1"/>
    <col min="5" max="5" width="8" style="14" bestFit="1" customWidth="1"/>
    <col min="6" max="6" width="11.375" style="14" bestFit="1" customWidth="1"/>
    <col min="7" max="7" width="12.75" style="14" bestFit="1" customWidth="1"/>
    <col min="8" max="8" width="9.25" style="14" bestFit="1" customWidth="1"/>
    <col min="9" max="9" width="11" style="14" bestFit="1" customWidth="1"/>
    <col min="10" max="10" width="8" style="14" bestFit="1" customWidth="1"/>
    <col min="11" max="19" width="4.125" style="14" bestFit="1" customWidth="1"/>
    <col min="20" max="41" width="5.125" style="14" bestFit="1" customWidth="1"/>
    <col min="42" max="44" width="8" style="14" bestFit="1" customWidth="1"/>
    <col min="45" max="45" width="9.25" style="15" bestFit="1" customWidth="1"/>
    <col min="46" max="46" width="8" style="15" bestFit="1" customWidth="1"/>
    <col min="47" max="47" width="11.375" style="14" bestFit="1" customWidth="1"/>
    <col min="48" max="49" width="13.125" style="14" bestFit="1" customWidth="1"/>
    <col min="50" max="50" width="11.375" style="15" bestFit="1" customWidth="1"/>
    <col min="51" max="51" width="7.5" style="15" bestFit="1" customWidth="1"/>
    <col min="52" max="52" width="9.25" style="15" bestFit="1" customWidth="1"/>
    <col min="53" max="53" width="9.625" style="15" bestFit="1" customWidth="1"/>
    <col min="54" max="54" width="6.375" style="15" bestFit="1" customWidth="1"/>
    <col min="55" max="55" width="9.625" style="15" bestFit="1" customWidth="1"/>
    <col min="56" max="16384" width="9" style="15"/>
  </cols>
  <sheetData>
    <row r="1" spans="1:55" s="13" customFormat="1" ht="51.75" customHeight="1" x14ac:dyDescent="0.3">
      <c r="A1" s="16" t="s">
        <v>62</v>
      </c>
      <c r="B1" s="17" t="s">
        <v>47</v>
      </c>
      <c r="C1" s="17" t="s">
        <v>48</v>
      </c>
      <c r="D1" s="17" t="s">
        <v>49</v>
      </c>
      <c r="E1" s="18" t="s">
        <v>50</v>
      </c>
      <c r="F1" s="18" t="s">
        <v>51</v>
      </c>
      <c r="G1" s="19" t="s">
        <v>39</v>
      </c>
      <c r="H1" s="19" t="s">
        <v>41</v>
      </c>
      <c r="I1" s="19" t="s">
        <v>43</v>
      </c>
      <c r="J1" s="18" t="s">
        <v>52</v>
      </c>
      <c r="K1" s="17" t="s">
        <v>53</v>
      </c>
      <c r="L1" s="17" t="s">
        <v>54</v>
      </c>
      <c r="M1" s="17" t="s">
        <v>55</v>
      </c>
      <c r="N1" s="17" t="s">
        <v>5</v>
      </c>
      <c r="O1" s="17" t="s">
        <v>6</v>
      </c>
      <c r="P1" s="17" t="s">
        <v>7</v>
      </c>
      <c r="Q1" s="17" t="s">
        <v>8</v>
      </c>
      <c r="R1" s="17" t="s">
        <v>9</v>
      </c>
      <c r="S1" s="17" t="s">
        <v>10</v>
      </c>
      <c r="T1" s="17" t="s">
        <v>11</v>
      </c>
      <c r="U1" s="17" t="s">
        <v>12</v>
      </c>
      <c r="V1" s="17" t="s">
        <v>13</v>
      </c>
      <c r="W1" s="17" t="s">
        <v>14</v>
      </c>
      <c r="X1" s="17" t="s">
        <v>15</v>
      </c>
      <c r="Y1" s="17" t="s">
        <v>16</v>
      </c>
      <c r="Z1" s="17" t="s">
        <v>17</v>
      </c>
      <c r="AA1" s="17" t="s">
        <v>18</v>
      </c>
      <c r="AB1" s="17" t="s">
        <v>19</v>
      </c>
      <c r="AC1" s="17" t="s">
        <v>20</v>
      </c>
      <c r="AD1" s="17" t="s">
        <v>21</v>
      </c>
      <c r="AE1" s="17" t="s">
        <v>22</v>
      </c>
      <c r="AF1" s="17" t="s">
        <v>23</v>
      </c>
      <c r="AG1" s="17" t="s">
        <v>24</v>
      </c>
      <c r="AH1" s="17" t="s">
        <v>25</v>
      </c>
      <c r="AI1" s="17" t="s">
        <v>26</v>
      </c>
      <c r="AJ1" s="17" t="s">
        <v>27</v>
      </c>
      <c r="AK1" s="17" t="s">
        <v>28</v>
      </c>
      <c r="AL1" s="17" t="s">
        <v>29</v>
      </c>
      <c r="AM1" s="17" t="s">
        <v>30</v>
      </c>
      <c r="AN1" s="17" t="s">
        <v>31</v>
      </c>
      <c r="AO1" s="17" t="s">
        <v>56</v>
      </c>
      <c r="AP1" s="17" t="s">
        <v>57</v>
      </c>
      <c r="AQ1" s="21" t="s">
        <v>789</v>
      </c>
      <c r="AR1" s="21" t="s">
        <v>790</v>
      </c>
      <c r="AS1" s="21" t="s">
        <v>82</v>
      </c>
      <c r="AT1" s="21" t="s">
        <v>788</v>
      </c>
      <c r="AU1" s="18" t="s">
        <v>60</v>
      </c>
      <c r="AV1" s="21" t="s">
        <v>63</v>
      </c>
      <c r="AW1" s="21" t="s">
        <v>64</v>
      </c>
      <c r="AX1" s="11" t="s">
        <v>95</v>
      </c>
      <c r="AY1" s="11" t="s">
        <v>98</v>
      </c>
      <c r="AZ1" s="11" t="s">
        <v>765</v>
      </c>
      <c r="BA1" s="12" t="s">
        <v>83</v>
      </c>
      <c r="BB1" s="12" t="s">
        <v>84</v>
      </c>
      <c r="BC1" s="12" t="s">
        <v>85</v>
      </c>
    </row>
    <row r="2" spans="1:55" ht="16.5" x14ac:dyDescent="0.3">
      <c r="A2" s="32">
        <v>3</v>
      </c>
      <c r="B2" s="32" t="str">
        <f>[1]근무일표연동!B3</f>
        <v>공영숙</v>
      </c>
      <c r="C2" s="25" t="str">
        <f>_xlfn.IFNA(VLOOKUP(B2,[1]일용주민번호!A:B,2,0),"")</f>
        <v>6410042798111</v>
      </c>
      <c r="D2" s="32" t="str">
        <f ca="1">LEFT([1]근무일표연동!$B$1,4)&amp;TEXT(LEFT([1]근무일표연동!$C$1,2),"00")</f>
        <v>202505</v>
      </c>
      <c r="E2" s="25" t="s">
        <v>61</v>
      </c>
      <c r="F2" s="25"/>
      <c r="G2" s="25" t="s">
        <v>909</v>
      </c>
      <c r="H2" s="25" t="s">
        <v>911</v>
      </c>
      <c r="I2" s="25" t="s">
        <v>913</v>
      </c>
      <c r="J2" s="25" t="s">
        <v>915</v>
      </c>
      <c r="K2"/>
      <c r="L2">
        <v>1</v>
      </c>
      <c r="M2"/>
      <c r="N2"/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/>
      <c r="X2"/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/>
      <c r="AF2"/>
      <c r="AG2">
        <v>1</v>
      </c>
      <c r="AH2">
        <v>1</v>
      </c>
      <c r="AI2">
        <v>1</v>
      </c>
      <c r="AJ2">
        <v>1</v>
      </c>
      <c r="AK2">
        <v>1</v>
      </c>
      <c r="AL2"/>
      <c r="AM2">
        <v>1</v>
      </c>
      <c r="AN2">
        <v>1</v>
      </c>
      <c r="AO2">
        <v>1</v>
      </c>
      <c r="AP2" s="63">
        <f>COUNTA(K2:AO2)</f>
        <v>23</v>
      </c>
      <c r="AQ2" s="14" t="s">
        <v>917</v>
      </c>
      <c r="AR2" s="63">
        <f>AP2</f>
        <v>23</v>
      </c>
      <c r="AS2" s="65">
        <v>2907200</v>
      </c>
      <c r="AT2" s="15">
        <f>AS2</f>
        <v>2907200</v>
      </c>
      <c r="AU2" s="14" t="s">
        <v>916</v>
      </c>
      <c r="AX2" s="15" t="s">
        <v>918</v>
      </c>
      <c r="AY2" s="64" t="str">
        <f ca="1">D2</f>
        <v>202505</v>
      </c>
      <c r="AZ2" s="15">
        <f>AS2</f>
        <v>2907200</v>
      </c>
    </row>
    <row r="3" spans="1:55" ht="16.5" x14ac:dyDescent="0.3">
      <c r="A3" s="32">
        <v>3</v>
      </c>
      <c r="B3" s="32" t="str">
        <f>[1]근무일표연동!B4</f>
        <v>남점숙</v>
      </c>
      <c r="C3" s="25" t="str">
        <f>_xlfn.IFNA(VLOOKUP(B3,[1]일용주민번호!A:B,2,0),"")</f>
        <v>6008182684328</v>
      </c>
      <c r="D3" s="32" t="str">
        <f ca="1">LEFT([1]근무일표연동!$B$1,4)&amp;TEXT(LEFT([1]근무일표연동!$C$1,2),"00")</f>
        <v>202505</v>
      </c>
      <c r="E3" s="25" t="s">
        <v>61</v>
      </c>
      <c r="F3" s="25"/>
      <c r="G3" s="25" t="s">
        <v>909</v>
      </c>
      <c r="H3" s="25" t="s">
        <v>911</v>
      </c>
      <c r="I3" s="25" t="s">
        <v>913</v>
      </c>
      <c r="J3" s="25" t="s">
        <v>915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>
        <v>1</v>
      </c>
      <c r="AK3">
        <v>1</v>
      </c>
      <c r="AL3"/>
      <c r="AM3">
        <v>1</v>
      </c>
      <c r="AN3">
        <v>1</v>
      </c>
      <c r="AO3">
        <v>1</v>
      </c>
      <c r="AP3" s="63">
        <f t="shared" ref="AP3:AP18" si="0">COUNTA(K3:AO3)</f>
        <v>5</v>
      </c>
      <c r="AQ3" s="14" t="s">
        <v>917</v>
      </c>
      <c r="AR3" s="63">
        <f t="shared" ref="AR3:AR17" si="1">AP3</f>
        <v>5</v>
      </c>
      <c r="AS3" s="65">
        <v>632000</v>
      </c>
      <c r="AT3" s="15">
        <f t="shared" ref="AT3:AT17" si="2">AS3</f>
        <v>632000</v>
      </c>
      <c r="AU3" s="14" t="s">
        <v>916</v>
      </c>
      <c r="AX3" s="15" t="s">
        <v>918</v>
      </c>
      <c r="AY3" s="64" t="str">
        <f t="shared" ref="AY3:AY17" ca="1" si="3">D3</f>
        <v>202505</v>
      </c>
      <c r="AZ3" s="15">
        <f>AS3</f>
        <v>632000</v>
      </c>
    </row>
    <row r="4" spans="1:55" ht="16.5" x14ac:dyDescent="0.3">
      <c r="A4" s="32">
        <v>3</v>
      </c>
      <c r="B4" s="32" t="str">
        <f>[1]근무일표연동!B5</f>
        <v>조금연</v>
      </c>
      <c r="C4" s="25" t="str">
        <f>_xlfn.IFNA(VLOOKUP(B4,[1]일용주민번호!A:B,2,0),"")</f>
        <v>7208132771811</v>
      </c>
      <c r="D4" s="32" t="str">
        <f ca="1">LEFT([1]근무일표연동!$B$1,4)&amp;TEXT(LEFT([1]근무일표연동!$C$1,2),"00")</f>
        <v>202505</v>
      </c>
      <c r="E4" s="25" t="s">
        <v>61</v>
      </c>
      <c r="F4" s="25"/>
      <c r="G4" s="25" t="s">
        <v>909</v>
      </c>
      <c r="H4" s="25" t="s">
        <v>911</v>
      </c>
      <c r="I4" s="25" t="s">
        <v>913</v>
      </c>
      <c r="J4" s="25" t="s">
        <v>915</v>
      </c>
      <c r="K4"/>
      <c r="L4"/>
      <c r="M4"/>
      <c r="N4">
        <v>1</v>
      </c>
      <c r="O4">
        <v>1</v>
      </c>
      <c r="P4">
        <v>1</v>
      </c>
      <c r="Q4">
        <v>1</v>
      </c>
      <c r="R4">
        <v>1</v>
      </c>
      <c r="S4"/>
      <c r="T4">
        <v>1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 s="63">
        <f t="shared" si="0"/>
        <v>6</v>
      </c>
      <c r="AQ4" s="14" t="s">
        <v>867</v>
      </c>
      <c r="AR4" s="63">
        <f t="shared" si="1"/>
        <v>6</v>
      </c>
      <c r="AS4" s="65">
        <v>650200</v>
      </c>
      <c r="AT4" s="15">
        <f t="shared" si="2"/>
        <v>650200</v>
      </c>
      <c r="AU4" s="14" t="s">
        <v>861</v>
      </c>
      <c r="AX4" s="15" t="s">
        <v>918</v>
      </c>
      <c r="AY4" s="64" t="str">
        <f t="shared" ca="1" si="3"/>
        <v>202505</v>
      </c>
      <c r="AZ4" s="15">
        <f t="shared" ref="AZ4:AZ17" si="4">AS4</f>
        <v>650200</v>
      </c>
    </row>
    <row r="5" spans="1:55" ht="16.5" x14ac:dyDescent="0.3">
      <c r="A5" s="32">
        <v>3</v>
      </c>
      <c r="B5" s="32" t="str">
        <f>[1]근무일표연동!B6</f>
        <v>윤숙정</v>
      </c>
      <c r="C5" s="25" t="str">
        <f>_xlfn.IFNA(VLOOKUP(B5,[1]일용주민번호!A:B,2,0),"")</f>
        <v>7704032798615</v>
      </c>
      <c r="D5" s="32" t="str">
        <f ca="1">LEFT([1]근무일표연동!$B$1,4)&amp;TEXT(LEFT([1]근무일표연동!$C$1,2),"00")</f>
        <v>202505</v>
      </c>
      <c r="E5" s="25" t="s">
        <v>61</v>
      </c>
      <c r="F5" s="25"/>
      <c r="G5" s="25" t="s">
        <v>909</v>
      </c>
      <c r="H5" s="25" t="s">
        <v>911</v>
      </c>
      <c r="I5" s="25" t="s">
        <v>913</v>
      </c>
      <c r="J5" s="25" t="s">
        <v>915</v>
      </c>
      <c r="K5"/>
      <c r="L5"/>
      <c r="M5"/>
      <c r="N5"/>
      <c r="O5">
        <v>1</v>
      </c>
      <c r="P5">
        <v>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 s="63">
        <f t="shared" si="0"/>
        <v>2</v>
      </c>
      <c r="AQ5" s="14" t="s">
        <v>867</v>
      </c>
      <c r="AR5" s="63">
        <f t="shared" si="1"/>
        <v>2</v>
      </c>
      <c r="AS5" s="65">
        <v>252800</v>
      </c>
      <c r="AT5" s="15">
        <f t="shared" si="2"/>
        <v>252800</v>
      </c>
      <c r="AU5" s="14" t="s">
        <v>861</v>
      </c>
      <c r="AX5" s="15" t="s">
        <v>918</v>
      </c>
      <c r="AY5" s="64" t="str">
        <f t="shared" ca="1" si="3"/>
        <v>202505</v>
      </c>
      <c r="AZ5" s="15">
        <f t="shared" si="4"/>
        <v>252800</v>
      </c>
    </row>
    <row r="6" spans="1:55" ht="16.5" x14ac:dyDescent="0.3">
      <c r="A6" s="32">
        <v>3</v>
      </c>
      <c r="B6" s="32" t="str">
        <f>[1]근무일표연동!B7</f>
        <v>황윤석</v>
      </c>
      <c r="C6" s="25" t="str">
        <f>_xlfn.IFNA(VLOOKUP(B6,[1]일용주민번호!A:B,2,0),"")</f>
        <v>9512161303319</v>
      </c>
      <c r="D6" s="32" t="str">
        <f ca="1">LEFT([1]근무일표연동!$B$1,4)&amp;TEXT(LEFT([1]근무일표연동!$C$1,2),"00")</f>
        <v>202505</v>
      </c>
      <c r="E6" s="25" t="s">
        <v>61</v>
      </c>
      <c r="F6" s="25"/>
      <c r="G6" s="25" t="s">
        <v>909</v>
      </c>
      <c r="H6" s="25" t="s">
        <v>911</v>
      </c>
      <c r="I6" s="25" t="s">
        <v>913</v>
      </c>
      <c r="J6" s="25" t="s">
        <v>915</v>
      </c>
      <c r="K6">
        <v>1</v>
      </c>
      <c r="L6"/>
      <c r="M6">
        <v>1</v>
      </c>
      <c r="N6">
        <v>1</v>
      </c>
      <c r="O6">
        <v>1</v>
      </c>
      <c r="P6">
        <v>1</v>
      </c>
      <c r="Q6">
        <v>1</v>
      </c>
      <c r="R6"/>
      <c r="S6"/>
      <c r="T6"/>
      <c r="U6">
        <v>1</v>
      </c>
      <c r="V6">
        <v>1</v>
      </c>
      <c r="W6">
        <v>1</v>
      </c>
      <c r="X6"/>
      <c r="Y6"/>
      <c r="Z6">
        <v>1</v>
      </c>
      <c r="AA6">
        <v>1</v>
      </c>
      <c r="AB6">
        <v>1</v>
      </c>
      <c r="AC6">
        <v>1</v>
      </c>
      <c r="AD6">
        <v>1</v>
      </c>
      <c r="AE6"/>
      <c r="AF6"/>
      <c r="AG6">
        <v>1</v>
      </c>
      <c r="AH6">
        <v>1</v>
      </c>
      <c r="AI6">
        <v>1</v>
      </c>
      <c r="AJ6">
        <v>1</v>
      </c>
      <c r="AK6"/>
      <c r="AL6">
        <v>1</v>
      </c>
      <c r="AM6">
        <v>1</v>
      </c>
      <c r="AN6">
        <v>1</v>
      </c>
      <c r="AO6">
        <v>1</v>
      </c>
      <c r="AP6" s="63">
        <f t="shared" si="0"/>
        <v>22</v>
      </c>
      <c r="AQ6" s="14" t="s">
        <v>867</v>
      </c>
      <c r="AR6" s="63">
        <f t="shared" si="1"/>
        <v>22</v>
      </c>
      <c r="AS6" s="65">
        <v>2748220</v>
      </c>
      <c r="AT6" s="15">
        <f t="shared" si="2"/>
        <v>2748220</v>
      </c>
      <c r="AU6" s="14" t="s">
        <v>861</v>
      </c>
      <c r="AX6" s="15" t="s">
        <v>918</v>
      </c>
      <c r="AY6" s="64" t="str">
        <f t="shared" ca="1" si="3"/>
        <v>202505</v>
      </c>
      <c r="AZ6" s="15">
        <f t="shared" si="4"/>
        <v>2748220</v>
      </c>
    </row>
    <row r="7" spans="1:55" ht="16.5" x14ac:dyDescent="0.3">
      <c r="A7" s="32">
        <v>3</v>
      </c>
      <c r="B7" s="32" t="str">
        <f>[1]근무일표연동!B8</f>
        <v>서미란</v>
      </c>
      <c r="C7" s="25" t="str">
        <f>_xlfn.IFNA(VLOOKUP(B7,[1]일용주민번호!A:B,2,0),"")</f>
        <v>5412092684210</v>
      </c>
      <c r="D7" s="32" t="str">
        <f ca="1">LEFT([1]근무일표연동!$B$1,4)&amp;TEXT(LEFT([1]근무일표연동!$C$1,2),"00")</f>
        <v>202505</v>
      </c>
      <c r="E7" s="25" t="s">
        <v>61</v>
      </c>
      <c r="F7" s="25"/>
      <c r="G7" s="25" t="s">
        <v>909</v>
      </c>
      <c r="H7" s="25" t="s">
        <v>911</v>
      </c>
      <c r="I7" s="25" t="s">
        <v>913</v>
      </c>
      <c r="J7" s="25" t="s">
        <v>915</v>
      </c>
      <c r="K7"/>
      <c r="L7"/>
      <c r="M7">
        <v>1</v>
      </c>
      <c r="N7"/>
      <c r="O7"/>
      <c r="P7"/>
      <c r="Q7"/>
      <c r="R7"/>
      <c r="S7"/>
      <c r="T7"/>
      <c r="U7"/>
      <c r="V7"/>
      <c r="W7"/>
      <c r="X7"/>
      <c r="Y7"/>
      <c r="Z7">
        <v>1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 s="63">
        <f t="shared" si="0"/>
        <v>2</v>
      </c>
      <c r="AQ7" s="14" t="s">
        <v>867</v>
      </c>
      <c r="AR7" s="63">
        <f t="shared" si="1"/>
        <v>2</v>
      </c>
      <c r="AS7" s="65">
        <v>252800</v>
      </c>
      <c r="AT7" s="15">
        <f t="shared" si="2"/>
        <v>252800</v>
      </c>
      <c r="AU7" s="14" t="s">
        <v>861</v>
      </c>
      <c r="AX7" s="15" t="s">
        <v>918</v>
      </c>
      <c r="AY7" s="64" t="str">
        <f t="shared" ca="1" si="3"/>
        <v>202505</v>
      </c>
      <c r="AZ7" s="15">
        <f t="shared" si="4"/>
        <v>252800</v>
      </c>
    </row>
    <row r="8" spans="1:55" ht="16.5" x14ac:dyDescent="0.3">
      <c r="A8" s="32">
        <v>3</v>
      </c>
      <c r="B8" s="32" t="str">
        <f>[1]근무일표연동!B9</f>
        <v>권종옥</v>
      </c>
      <c r="C8" s="25" t="str">
        <f>_xlfn.IFNA(VLOOKUP(B8,[1]일용주민번호!A:B,2,0),"")</f>
        <v>6906162347927</v>
      </c>
      <c r="D8" s="32" t="str">
        <f ca="1">LEFT([1]근무일표연동!$B$1,4)&amp;TEXT(LEFT([1]근무일표연동!$C$1,2),"00")</f>
        <v>202505</v>
      </c>
      <c r="E8" s="25" t="s">
        <v>61</v>
      </c>
      <c r="F8" s="25"/>
      <c r="G8" s="25" t="s">
        <v>909</v>
      </c>
      <c r="H8" s="25" t="s">
        <v>911</v>
      </c>
      <c r="I8" s="25" t="s">
        <v>913</v>
      </c>
      <c r="J8" s="25" t="s">
        <v>915</v>
      </c>
      <c r="K8">
        <v>1</v>
      </c>
      <c r="L8"/>
      <c r="M8">
        <v>1</v>
      </c>
      <c r="N8">
        <v>1</v>
      </c>
      <c r="O8">
        <v>1</v>
      </c>
      <c r="P8"/>
      <c r="Q8"/>
      <c r="R8">
        <v>1</v>
      </c>
      <c r="S8">
        <v>1</v>
      </c>
      <c r="T8">
        <v>1</v>
      </c>
      <c r="U8">
        <v>1</v>
      </c>
      <c r="V8"/>
      <c r="W8">
        <v>1</v>
      </c>
      <c r="X8">
        <v>1</v>
      </c>
      <c r="Y8">
        <v>1</v>
      </c>
      <c r="Z8"/>
      <c r="AA8"/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/>
      <c r="AI8">
        <v>1</v>
      </c>
      <c r="AJ8">
        <v>1</v>
      </c>
      <c r="AK8">
        <v>1</v>
      </c>
      <c r="AL8">
        <v>1</v>
      </c>
      <c r="AM8">
        <v>1</v>
      </c>
      <c r="AN8"/>
      <c r="AO8">
        <v>1</v>
      </c>
      <c r="AP8" s="63">
        <f t="shared" si="0"/>
        <v>23</v>
      </c>
      <c r="AQ8" s="14" t="s">
        <v>867</v>
      </c>
      <c r="AR8" s="63">
        <f t="shared" si="1"/>
        <v>23</v>
      </c>
      <c r="AS8" s="65">
        <v>2907200</v>
      </c>
      <c r="AT8" s="15">
        <f t="shared" si="2"/>
        <v>2907200</v>
      </c>
      <c r="AU8" s="14" t="s">
        <v>861</v>
      </c>
      <c r="AX8" s="15" t="s">
        <v>918</v>
      </c>
      <c r="AY8" s="64" t="str">
        <f t="shared" ca="1" si="3"/>
        <v>202505</v>
      </c>
      <c r="AZ8" s="15">
        <f t="shared" si="4"/>
        <v>2907200</v>
      </c>
    </row>
    <row r="9" spans="1:55" ht="16.5" x14ac:dyDescent="0.3">
      <c r="A9" s="32">
        <v>3</v>
      </c>
      <c r="B9" s="32" t="str">
        <f>[1]근무일표연동!B10</f>
        <v>김광훈</v>
      </c>
      <c r="C9" s="25" t="str">
        <f>_xlfn.IFNA(VLOOKUP(B9,[1]일용주민번호!A:B,2,0),"")</f>
        <v>5910101773413</v>
      </c>
      <c r="D9" s="32" t="str">
        <f ca="1">LEFT([1]근무일표연동!$B$1,4)&amp;TEXT(LEFT([1]근무일표연동!$C$1,2),"00")</f>
        <v>202505</v>
      </c>
      <c r="E9" s="25" t="s">
        <v>61</v>
      </c>
      <c r="F9" s="25"/>
      <c r="G9" s="25" t="s">
        <v>909</v>
      </c>
      <c r="H9" s="25" t="s">
        <v>911</v>
      </c>
      <c r="I9" s="25" t="s">
        <v>913</v>
      </c>
      <c r="J9" s="25" t="s">
        <v>915</v>
      </c>
      <c r="K9"/>
      <c r="L9"/>
      <c r="M9"/>
      <c r="N9"/>
      <c r="O9"/>
      <c r="P9"/>
      <c r="Q9">
        <v>1</v>
      </c>
      <c r="R9">
        <v>1</v>
      </c>
      <c r="S9"/>
      <c r="T9"/>
      <c r="U9"/>
      <c r="V9"/>
      <c r="W9">
        <v>1</v>
      </c>
      <c r="X9">
        <v>1</v>
      </c>
      <c r="Y9"/>
      <c r="Z9"/>
      <c r="AA9"/>
      <c r="AB9"/>
      <c r="AC9"/>
      <c r="AD9">
        <v>1</v>
      </c>
      <c r="AE9">
        <v>1</v>
      </c>
      <c r="AF9"/>
      <c r="AG9"/>
      <c r="AH9"/>
      <c r="AI9"/>
      <c r="AJ9"/>
      <c r="AK9">
        <v>1</v>
      </c>
      <c r="AL9">
        <v>1</v>
      </c>
      <c r="AM9"/>
      <c r="AN9"/>
      <c r="AO9"/>
      <c r="AP9" s="63">
        <f t="shared" si="0"/>
        <v>8</v>
      </c>
      <c r="AQ9" s="14" t="s">
        <v>867</v>
      </c>
      <c r="AR9" s="63">
        <f t="shared" si="1"/>
        <v>8</v>
      </c>
      <c r="AS9" s="65">
        <v>1011200</v>
      </c>
      <c r="AT9" s="15">
        <f t="shared" si="2"/>
        <v>1011200</v>
      </c>
      <c r="AU9" s="14" t="s">
        <v>861</v>
      </c>
      <c r="AX9" s="15" t="s">
        <v>918</v>
      </c>
      <c r="AY9" s="64" t="str">
        <f t="shared" ca="1" si="3"/>
        <v>202505</v>
      </c>
      <c r="AZ9" s="15">
        <f t="shared" si="4"/>
        <v>1011200</v>
      </c>
    </row>
    <row r="10" spans="1:55" ht="16.5" x14ac:dyDescent="0.3">
      <c r="A10" s="32">
        <v>3</v>
      </c>
      <c r="B10" s="32" t="str">
        <f>[1]근무일표연동!B11</f>
        <v>박재완</v>
      </c>
      <c r="C10" s="25" t="str">
        <f>_xlfn.IFNA(VLOOKUP(B10,[1]일용주민번호!A:B,2,0),"")</f>
        <v>8911281093111</v>
      </c>
      <c r="D10" s="32" t="str">
        <f ca="1">LEFT([1]근무일표연동!$B$1,4)&amp;TEXT(LEFT([1]근무일표연동!$C$1,2),"00")</f>
        <v>202505</v>
      </c>
      <c r="E10" s="25" t="s">
        <v>61</v>
      </c>
      <c r="F10" s="25"/>
      <c r="G10" s="25" t="s">
        <v>909</v>
      </c>
      <c r="H10" s="25" t="s">
        <v>911</v>
      </c>
      <c r="I10" s="25" t="s">
        <v>913</v>
      </c>
      <c r="J10" s="25" t="s">
        <v>915</v>
      </c>
      <c r="K10">
        <v>1</v>
      </c>
      <c r="L10">
        <v>1</v>
      </c>
      <c r="M10"/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/>
      <c r="U10">
        <v>1</v>
      </c>
      <c r="V10">
        <v>1</v>
      </c>
      <c r="W10">
        <v>1</v>
      </c>
      <c r="X10">
        <v>1</v>
      </c>
      <c r="Y10">
        <v>1</v>
      </c>
      <c r="Z10"/>
      <c r="AA10"/>
      <c r="AB10"/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/>
      <c r="AJ10"/>
      <c r="AK10">
        <v>1</v>
      </c>
      <c r="AL10">
        <v>1</v>
      </c>
      <c r="AM10">
        <v>1</v>
      </c>
      <c r="AN10">
        <v>1</v>
      </c>
      <c r="AO10"/>
      <c r="AP10" s="63">
        <f t="shared" si="0"/>
        <v>23</v>
      </c>
      <c r="AQ10" s="14" t="s">
        <v>867</v>
      </c>
      <c r="AR10" s="63">
        <f t="shared" si="1"/>
        <v>23</v>
      </c>
      <c r="AS10" s="65">
        <v>3844550</v>
      </c>
      <c r="AT10" s="15">
        <f t="shared" si="2"/>
        <v>3844550</v>
      </c>
      <c r="AU10" s="14" t="s">
        <v>861</v>
      </c>
      <c r="AX10" s="15" t="s">
        <v>918</v>
      </c>
      <c r="AY10" s="64" t="str">
        <f t="shared" ca="1" si="3"/>
        <v>202505</v>
      </c>
      <c r="AZ10" s="15">
        <f t="shared" si="4"/>
        <v>3844550</v>
      </c>
    </row>
    <row r="11" spans="1:55" ht="16.5" x14ac:dyDescent="0.3">
      <c r="A11" s="32">
        <v>3</v>
      </c>
      <c r="B11" s="32" t="str">
        <f>[1]근무일표연동!B12</f>
        <v>김영희</v>
      </c>
      <c r="C11" s="25" t="str">
        <f>_xlfn.IFNA(VLOOKUP(B11,[1]일용주민번호!A:B,2,0),"")</f>
        <v>7309112711016</v>
      </c>
      <c r="D11" s="32" t="str">
        <f ca="1">LEFT([1]근무일표연동!$B$1,4)&amp;TEXT(LEFT([1]근무일표연동!$C$1,2),"00")</f>
        <v>202505</v>
      </c>
      <c r="E11" s="25" t="s">
        <v>61</v>
      </c>
      <c r="F11" s="25"/>
      <c r="G11" s="25" t="s">
        <v>909</v>
      </c>
      <c r="H11" s="25" t="s">
        <v>911</v>
      </c>
      <c r="I11" s="25" t="s">
        <v>913</v>
      </c>
      <c r="J11" s="25" t="s">
        <v>915</v>
      </c>
      <c r="K11"/>
      <c r="L11"/>
      <c r="M11"/>
      <c r="N11"/>
      <c r="O11"/>
      <c r="P11">
        <v>1</v>
      </c>
      <c r="Q11">
        <v>1</v>
      </c>
      <c r="R11"/>
      <c r="S11"/>
      <c r="T11">
        <v>1</v>
      </c>
      <c r="U11">
        <v>1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s="63">
        <f t="shared" si="0"/>
        <v>4</v>
      </c>
      <c r="AQ11" s="14" t="s">
        <v>867</v>
      </c>
      <c r="AR11" s="63">
        <f t="shared" si="1"/>
        <v>4</v>
      </c>
      <c r="AS11" s="65">
        <v>349160</v>
      </c>
      <c r="AT11" s="15">
        <f t="shared" si="2"/>
        <v>349160</v>
      </c>
      <c r="AU11" s="14" t="s">
        <v>861</v>
      </c>
      <c r="AX11" s="15" t="s">
        <v>918</v>
      </c>
      <c r="AY11" s="64" t="str">
        <f t="shared" ca="1" si="3"/>
        <v>202505</v>
      </c>
      <c r="AZ11" s="15">
        <f t="shared" si="4"/>
        <v>349160</v>
      </c>
    </row>
    <row r="12" spans="1:55" ht="16.5" x14ac:dyDescent="0.3">
      <c r="A12" s="32">
        <v>3</v>
      </c>
      <c r="B12" s="32" t="str">
        <f>[1]근무일표연동!B13</f>
        <v>우지원</v>
      </c>
      <c r="C12" s="25" t="str">
        <f>_xlfn.IFNA(VLOOKUP(B12,[1]일용주민번호!A:B,2,0),"")</f>
        <v>6402122683117</v>
      </c>
      <c r="D12" s="32" t="str">
        <f ca="1">LEFT([1]근무일표연동!$B$1,4)&amp;TEXT(LEFT([1]근무일표연동!$C$1,2),"00")</f>
        <v>202505</v>
      </c>
      <c r="E12" s="25" t="s">
        <v>907</v>
      </c>
      <c r="F12" s="25"/>
      <c r="G12" s="25" t="s">
        <v>909</v>
      </c>
      <c r="H12" s="25" t="s">
        <v>911</v>
      </c>
      <c r="I12" s="25" t="s">
        <v>913</v>
      </c>
      <c r="J12" s="25" t="s">
        <v>915</v>
      </c>
      <c r="K12"/>
      <c r="L12"/>
      <c r="M12">
        <v>1</v>
      </c>
      <c r="N12">
        <v>1</v>
      </c>
      <c r="O12">
        <v>1</v>
      </c>
      <c r="P12">
        <v>1</v>
      </c>
      <c r="Q12"/>
      <c r="R12"/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/>
      <c r="AA12"/>
      <c r="AB12"/>
      <c r="AC12">
        <v>1</v>
      </c>
      <c r="AD12">
        <v>1</v>
      </c>
      <c r="AE12">
        <v>1</v>
      </c>
      <c r="AF12">
        <v>1</v>
      </c>
      <c r="AG12"/>
      <c r="AH12"/>
      <c r="AI12"/>
      <c r="AJ12">
        <v>1</v>
      </c>
      <c r="AK12"/>
      <c r="AL12"/>
      <c r="AM12"/>
      <c r="AN12"/>
      <c r="AO12"/>
      <c r="AP12" s="63">
        <f t="shared" si="0"/>
        <v>16</v>
      </c>
      <c r="AQ12" s="14" t="s">
        <v>867</v>
      </c>
      <c r="AR12" s="63">
        <f t="shared" si="1"/>
        <v>16</v>
      </c>
      <c r="AS12" s="65">
        <v>1625800</v>
      </c>
      <c r="AT12" s="15">
        <f t="shared" si="2"/>
        <v>1625800</v>
      </c>
      <c r="AU12" s="14" t="s">
        <v>861</v>
      </c>
      <c r="AX12" s="15" t="s">
        <v>918</v>
      </c>
      <c r="AY12" s="64" t="str">
        <f t="shared" ca="1" si="3"/>
        <v>202505</v>
      </c>
      <c r="AZ12" s="15">
        <f t="shared" si="4"/>
        <v>1625800</v>
      </c>
    </row>
    <row r="13" spans="1:55" ht="16.5" x14ac:dyDescent="0.3">
      <c r="A13" s="32">
        <v>3</v>
      </c>
      <c r="B13" s="32" t="str">
        <f>[1]근무일표연동!B14</f>
        <v>정옥선</v>
      </c>
      <c r="C13" s="25" t="str">
        <f>_xlfn.IFNA(VLOOKUP(B13,[1]일용주민번호!A:B,2,0),"")</f>
        <v>5912052235616</v>
      </c>
      <c r="D13" s="32" t="str">
        <f ca="1">LEFT([1]근무일표연동!$B$1,4)&amp;TEXT(LEFT([1]근무일표연동!$C$1,2),"00")</f>
        <v>202505</v>
      </c>
      <c r="E13" s="25" t="s">
        <v>907</v>
      </c>
      <c r="F13" s="25"/>
      <c r="G13" s="25" t="s">
        <v>909</v>
      </c>
      <c r="H13" s="25" t="s">
        <v>911</v>
      </c>
      <c r="I13" s="25" t="s">
        <v>913</v>
      </c>
      <c r="J13" s="25" t="s">
        <v>915</v>
      </c>
      <c r="K13"/>
      <c r="L13"/>
      <c r="M13"/>
      <c r="N13"/>
      <c r="O13"/>
      <c r="P13">
        <v>1</v>
      </c>
      <c r="Q13">
        <v>1</v>
      </c>
      <c r="R13">
        <v>1</v>
      </c>
      <c r="S13">
        <v>1</v>
      </c>
      <c r="T13"/>
      <c r="U13"/>
      <c r="V13">
        <v>1</v>
      </c>
      <c r="W13">
        <v>1</v>
      </c>
      <c r="X13"/>
      <c r="Y13"/>
      <c r="Z13">
        <v>1</v>
      </c>
      <c r="AA13">
        <v>1</v>
      </c>
      <c r="AB13"/>
      <c r="AC13"/>
      <c r="AD13"/>
      <c r="AE13">
        <v>1</v>
      </c>
      <c r="AF13">
        <v>1</v>
      </c>
      <c r="AG13">
        <v>1</v>
      </c>
      <c r="AH13">
        <v>1</v>
      </c>
      <c r="AI13"/>
      <c r="AJ13">
        <v>1</v>
      </c>
      <c r="AK13">
        <v>1</v>
      </c>
      <c r="AL13">
        <v>1</v>
      </c>
      <c r="AM13">
        <v>1</v>
      </c>
      <c r="AN13"/>
      <c r="AO13"/>
      <c r="AP13" s="63">
        <f t="shared" si="0"/>
        <v>16</v>
      </c>
      <c r="AQ13" s="14" t="s">
        <v>867</v>
      </c>
      <c r="AR13" s="63">
        <f t="shared" si="1"/>
        <v>16</v>
      </c>
      <c r="AS13" s="65">
        <v>2022400</v>
      </c>
      <c r="AT13" s="15">
        <f t="shared" si="2"/>
        <v>2022400</v>
      </c>
      <c r="AU13" s="14" t="s">
        <v>861</v>
      </c>
      <c r="AX13" s="15" t="s">
        <v>918</v>
      </c>
      <c r="AY13" s="64" t="str">
        <f t="shared" ca="1" si="3"/>
        <v>202505</v>
      </c>
      <c r="AZ13" s="15">
        <f t="shared" si="4"/>
        <v>2022400</v>
      </c>
    </row>
    <row r="14" spans="1:55" ht="16.5" x14ac:dyDescent="0.3">
      <c r="A14" s="32">
        <v>3</v>
      </c>
      <c r="B14" s="32" t="str">
        <f>[1]근무일표연동!B15</f>
        <v>박광범</v>
      </c>
      <c r="C14" s="25" t="str">
        <f>_xlfn.IFNA(VLOOKUP(B14,[1]일용주민번호!A:B,2,0),"")</f>
        <v>9810181110619</v>
      </c>
      <c r="D14" s="32" t="str">
        <f ca="1">LEFT([1]근무일표연동!$B$1,4)&amp;TEXT(LEFT([1]근무일표연동!$C$1,2),"00")</f>
        <v>202505</v>
      </c>
      <c r="E14" s="25" t="s">
        <v>907</v>
      </c>
      <c r="F14" s="25"/>
      <c r="G14" s="25" t="s">
        <v>909</v>
      </c>
      <c r="H14" s="25" t="s">
        <v>911</v>
      </c>
      <c r="I14" s="25" t="s">
        <v>913</v>
      </c>
      <c r="J14" s="25" t="s">
        <v>915</v>
      </c>
      <c r="K14"/>
      <c r="L14"/>
      <c r="M14"/>
      <c r="N14"/>
      <c r="O14">
        <v>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 s="63">
        <f t="shared" si="0"/>
        <v>1</v>
      </c>
      <c r="AQ14" s="14" t="s">
        <v>867</v>
      </c>
      <c r="AR14" s="63">
        <f t="shared" si="1"/>
        <v>1</v>
      </c>
      <c r="AS14" s="65">
        <v>130000</v>
      </c>
      <c r="AT14" s="15">
        <f t="shared" si="2"/>
        <v>130000</v>
      </c>
      <c r="AU14" s="14" t="s">
        <v>861</v>
      </c>
      <c r="AX14" s="15" t="s">
        <v>918</v>
      </c>
      <c r="AY14" s="64" t="str">
        <f t="shared" ca="1" si="3"/>
        <v>202505</v>
      </c>
      <c r="AZ14" s="15">
        <f t="shared" si="4"/>
        <v>130000</v>
      </c>
    </row>
    <row r="15" spans="1:55" ht="16.5" x14ac:dyDescent="0.3">
      <c r="A15" s="32">
        <v>3</v>
      </c>
      <c r="B15" s="32" t="str">
        <f>[1]근무일표연동!B16</f>
        <v>권기남</v>
      </c>
      <c r="C15" s="25" t="str">
        <f>_xlfn.IFNA(VLOOKUP(B15,[1]일용주민번호!A:B,2,0),"")</f>
        <v>0310153902315</v>
      </c>
      <c r="D15" s="32" t="str">
        <f ca="1">LEFT([1]근무일표연동!$B$1,4)&amp;TEXT(LEFT([1]근무일표연동!$C$1,2),"00")</f>
        <v>202505</v>
      </c>
      <c r="E15" s="25" t="s">
        <v>907</v>
      </c>
      <c r="F15" s="25"/>
      <c r="G15" s="25" t="s">
        <v>909</v>
      </c>
      <c r="H15" s="25" t="s">
        <v>911</v>
      </c>
      <c r="I15" s="25" t="s">
        <v>913</v>
      </c>
      <c r="J15" s="25" t="s">
        <v>915</v>
      </c>
      <c r="K15"/>
      <c r="L15"/>
      <c r="M15">
        <v>1</v>
      </c>
      <c r="N15">
        <v>1</v>
      </c>
      <c r="O15">
        <v>1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 s="63">
        <f t="shared" si="0"/>
        <v>3</v>
      </c>
      <c r="AQ15" s="14" t="s">
        <v>867</v>
      </c>
      <c r="AR15" s="63">
        <f t="shared" si="1"/>
        <v>3</v>
      </c>
      <c r="AS15" s="65">
        <v>390000</v>
      </c>
      <c r="AT15" s="15">
        <f t="shared" si="2"/>
        <v>390000</v>
      </c>
      <c r="AU15" s="14" t="s">
        <v>861</v>
      </c>
      <c r="AX15" s="15" t="s">
        <v>918</v>
      </c>
      <c r="AY15" s="64" t="str">
        <f t="shared" ca="1" si="3"/>
        <v>202505</v>
      </c>
      <c r="AZ15" s="15">
        <f t="shared" si="4"/>
        <v>390000</v>
      </c>
    </row>
    <row r="16" spans="1:55" ht="16.5" x14ac:dyDescent="0.3">
      <c r="A16" s="32">
        <v>3</v>
      </c>
      <c r="B16" s="32" t="str">
        <f>[1]근무일표연동!B17</f>
        <v>김현정</v>
      </c>
      <c r="C16" s="25" t="str">
        <f>_xlfn.IFNA(VLOOKUP(B16,[1]일용주민번호!A:B,2,0),"")</f>
        <v>7412042109732</v>
      </c>
      <c r="D16" s="32" t="str">
        <f ca="1">LEFT([1]근무일표연동!$B$1,4)&amp;TEXT(LEFT([1]근무일표연동!$C$1,2),"00")</f>
        <v>202505</v>
      </c>
      <c r="E16" s="25" t="s">
        <v>907</v>
      </c>
      <c r="F16" s="25"/>
      <c r="G16" s="25" t="s">
        <v>909</v>
      </c>
      <c r="H16" s="25" t="s">
        <v>911</v>
      </c>
      <c r="I16" s="25" t="s">
        <v>913</v>
      </c>
      <c r="J16" s="25" t="s">
        <v>915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>
        <v>1</v>
      </c>
      <c r="AC16"/>
      <c r="AD16"/>
      <c r="AE16"/>
      <c r="AF16"/>
      <c r="AG16"/>
      <c r="AH16"/>
      <c r="AI16">
        <v>1</v>
      </c>
      <c r="AJ16"/>
      <c r="AK16"/>
      <c r="AL16"/>
      <c r="AM16"/>
      <c r="AN16"/>
      <c r="AO16"/>
      <c r="AP16" s="63">
        <f t="shared" si="0"/>
        <v>2</v>
      </c>
      <c r="AQ16" s="14" t="s">
        <v>867</v>
      </c>
      <c r="AR16" s="63">
        <f t="shared" si="1"/>
        <v>2</v>
      </c>
      <c r="AS16" s="65">
        <v>200000</v>
      </c>
      <c r="AT16" s="15">
        <f t="shared" si="2"/>
        <v>200000</v>
      </c>
      <c r="AU16" s="14" t="s">
        <v>861</v>
      </c>
      <c r="AX16" s="15" t="s">
        <v>918</v>
      </c>
      <c r="AY16" s="64" t="str">
        <f t="shared" ca="1" si="3"/>
        <v>202505</v>
      </c>
      <c r="AZ16" s="15">
        <f t="shared" si="4"/>
        <v>200000</v>
      </c>
    </row>
    <row r="17" spans="1:52" ht="16.5" x14ac:dyDescent="0.3">
      <c r="A17" s="32">
        <v>3</v>
      </c>
      <c r="B17" s="32" t="str">
        <f>[1]근무일표연동!B18</f>
        <v>방준수</v>
      </c>
      <c r="C17" s="25" t="str">
        <f>_xlfn.IFNA(VLOOKUP(B17,[1]일용주민번호!A:B,2,0),"")</f>
        <v>9609301157829</v>
      </c>
      <c r="D17" s="32" t="str">
        <f ca="1">LEFT([1]근무일표연동!$B$1,4)&amp;TEXT(LEFT([1]근무일표연동!$C$1,2),"00")</f>
        <v>202505</v>
      </c>
      <c r="E17" s="25" t="s">
        <v>907</v>
      </c>
      <c r="F17" s="25"/>
      <c r="G17" s="25" t="s">
        <v>908</v>
      </c>
      <c r="H17" s="25" t="s">
        <v>910</v>
      </c>
      <c r="I17" s="25" t="s">
        <v>912</v>
      </c>
      <c r="J17" s="25" t="s">
        <v>914</v>
      </c>
      <c r="K17">
        <v>1</v>
      </c>
      <c r="L17"/>
      <c r="M17"/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/>
      <c r="V17"/>
      <c r="W17"/>
      <c r="X17">
        <v>1</v>
      </c>
      <c r="Y17">
        <v>1</v>
      </c>
      <c r="Z17">
        <v>1</v>
      </c>
      <c r="AA17">
        <v>1</v>
      </c>
      <c r="AB17">
        <v>1</v>
      </c>
      <c r="AC17"/>
      <c r="AD17">
        <v>1</v>
      </c>
      <c r="AE17">
        <v>1</v>
      </c>
      <c r="AF17">
        <v>1</v>
      </c>
      <c r="AG17"/>
      <c r="AH17"/>
      <c r="AI17"/>
      <c r="AJ17"/>
      <c r="AK17"/>
      <c r="AL17"/>
      <c r="AM17"/>
      <c r="AN17"/>
      <c r="AO17"/>
      <c r="AP17" s="63">
        <f t="shared" si="0"/>
        <v>16</v>
      </c>
      <c r="AQ17" s="14" t="s">
        <v>867</v>
      </c>
      <c r="AR17" s="63">
        <f t="shared" si="1"/>
        <v>16</v>
      </c>
      <c r="AS17" s="65">
        <v>2006000</v>
      </c>
      <c r="AT17" s="15">
        <f t="shared" si="2"/>
        <v>2006000</v>
      </c>
      <c r="AU17" s="14" t="s">
        <v>861</v>
      </c>
      <c r="AX17" s="15" t="s">
        <v>918</v>
      </c>
      <c r="AY17" s="64" t="str">
        <f t="shared" ca="1" si="3"/>
        <v>202505</v>
      </c>
      <c r="AZ17" s="15">
        <f t="shared" si="4"/>
        <v>2006000</v>
      </c>
    </row>
    <row r="18" spans="1:52" ht="16.5" x14ac:dyDescent="0.3">
      <c r="A18" s="32">
        <v>3</v>
      </c>
      <c r="B18" s="32" t="str">
        <f>[1]근무일표연동!B19</f>
        <v>김현철</v>
      </c>
      <c r="C18" s="25" t="str">
        <f>_xlfn.IFNA(VLOOKUP(B18,[1]일용주민번호!A:B,2,0),"")</f>
        <v>8304041849613</v>
      </c>
      <c r="D18" s="32" t="str">
        <f ca="1">LEFT([1]근무일표연동!$B$1,4)&amp;TEXT(LEFT([1]근무일표연동!$C$1,2),"00")</f>
        <v>202505</v>
      </c>
      <c r="E18" s="25" t="s">
        <v>907</v>
      </c>
      <c r="F18" s="25"/>
      <c r="G18" s="25" t="s">
        <v>908</v>
      </c>
      <c r="H18" s="25" t="s">
        <v>910</v>
      </c>
      <c r="I18" s="25" t="s">
        <v>912</v>
      </c>
      <c r="J18" s="25" t="s">
        <v>914</v>
      </c>
      <c r="K18">
        <v>1</v>
      </c>
      <c r="L18">
        <v>1</v>
      </c>
      <c r="M18"/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/>
      <c r="U18">
        <v>1</v>
      </c>
      <c r="V18">
        <v>1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 s="63">
        <f t="shared" si="0"/>
        <v>10</v>
      </c>
      <c r="AQ18" s="14" t="s">
        <v>867</v>
      </c>
      <c r="AR18" s="63">
        <f t="shared" ref="AR18:AR26" si="5">AP18</f>
        <v>10</v>
      </c>
      <c r="AS18" s="14">
        <v>1352000</v>
      </c>
      <c r="AT18" s="15">
        <f t="shared" ref="AT18:AT25" si="6">AS18</f>
        <v>1352000</v>
      </c>
      <c r="AU18" s="14" t="s">
        <v>73</v>
      </c>
      <c r="AX18" s="15" t="s">
        <v>93</v>
      </c>
      <c r="AY18" s="64" t="str">
        <f t="shared" ref="AY18:AY25" ca="1" si="7">D18</f>
        <v>202505</v>
      </c>
      <c r="AZ18" s="15">
        <f t="shared" ref="AZ18:AZ25" si="8">AS18</f>
        <v>1352000</v>
      </c>
    </row>
    <row r="19" spans="1:52" ht="16.5" x14ac:dyDescent="0.3">
      <c r="A19" s="32">
        <v>3</v>
      </c>
      <c r="B19" s="32" t="str">
        <f>[1]근무일표연동!B20</f>
        <v>김지은</v>
      </c>
      <c r="C19" s="25" t="str">
        <f>_xlfn.IFNA(VLOOKUP(B19,[1]일용주민번호!A:B,2,0),"")</f>
        <v>7711072836010</v>
      </c>
      <c r="D19" s="32" t="str">
        <f ca="1">LEFT([1]근무일표연동!$B$1,4)&amp;TEXT(LEFT([1]근무일표연동!$C$1,2),"00")</f>
        <v>202505</v>
      </c>
      <c r="E19" s="25" t="s">
        <v>907</v>
      </c>
      <c r="F19" s="25"/>
      <c r="G19" s="25" t="s">
        <v>908</v>
      </c>
      <c r="H19" s="25" t="s">
        <v>910</v>
      </c>
      <c r="I19" s="25" t="s">
        <v>912</v>
      </c>
      <c r="J19" s="25" t="s">
        <v>914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>
        <v>1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s="63">
        <f t="shared" ref="AP19:AP27" si="9">COUNTA(K19:AO19)</f>
        <v>1</v>
      </c>
      <c r="AQ19" s="14" t="s">
        <v>867</v>
      </c>
      <c r="AR19" s="63">
        <f t="shared" si="5"/>
        <v>1</v>
      </c>
      <c r="AS19" s="15">
        <v>130000</v>
      </c>
      <c r="AT19" s="15">
        <f t="shared" si="6"/>
        <v>130000</v>
      </c>
      <c r="AU19" s="14" t="s">
        <v>861</v>
      </c>
      <c r="AX19" s="15" t="s">
        <v>93</v>
      </c>
      <c r="AY19" s="64" t="str">
        <f t="shared" ca="1" si="7"/>
        <v>202505</v>
      </c>
      <c r="AZ19" s="15">
        <f t="shared" si="8"/>
        <v>130000</v>
      </c>
    </row>
    <row r="20" spans="1:52" ht="16.5" x14ac:dyDescent="0.3">
      <c r="A20" s="32">
        <v>3</v>
      </c>
      <c r="B20" s="32" t="str">
        <f>[1]근무일표연동!B21</f>
        <v>조윤호</v>
      </c>
      <c r="C20" s="25" t="str">
        <f>_xlfn.IFNA(VLOOKUP(B20,[1]일용주민번호!A:B,2,0),"")</f>
        <v>8909241106616</v>
      </c>
      <c r="D20" s="32" t="str">
        <f ca="1">LEFT([1]근무일표연동!$B$1,4)&amp;TEXT(LEFT([1]근무일표연동!$C$1,2),"00")</f>
        <v>202505</v>
      </c>
      <c r="E20" s="25" t="s">
        <v>907</v>
      </c>
      <c r="F20" s="25"/>
      <c r="G20" s="25" t="s">
        <v>908</v>
      </c>
      <c r="H20" s="25" t="s">
        <v>910</v>
      </c>
      <c r="I20" s="25" t="s">
        <v>912</v>
      </c>
      <c r="J20" s="25" t="s">
        <v>914</v>
      </c>
      <c r="K20"/>
      <c r="L20"/>
      <c r="M20"/>
      <c r="N20"/>
      <c r="O20"/>
      <c r="P20"/>
      <c r="Q20"/>
      <c r="R20"/>
      <c r="S20"/>
      <c r="T20"/>
      <c r="U20"/>
      <c r="V20"/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/>
      <c r="AD20"/>
      <c r="AE20">
        <v>1</v>
      </c>
      <c r="AF20">
        <v>1</v>
      </c>
      <c r="AG20">
        <v>1</v>
      </c>
      <c r="AH20"/>
      <c r="AI20"/>
      <c r="AJ20">
        <v>1</v>
      </c>
      <c r="AK20">
        <v>1</v>
      </c>
      <c r="AL20">
        <v>1</v>
      </c>
      <c r="AM20">
        <v>1</v>
      </c>
      <c r="AN20">
        <v>1</v>
      </c>
      <c r="AO20"/>
      <c r="AP20" s="63">
        <f t="shared" si="9"/>
        <v>14</v>
      </c>
      <c r="AQ20" s="14" t="s">
        <v>867</v>
      </c>
      <c r="AR20" s="63">
        <f t="shared" si="5"/>
        <v>14</v>
      </c>
      <c r="AS20" s="15">
        <v>1960230</v>
      </c>
      <c r="AT20" s="15">
        <f t="shared" si="6"/>
        <v>1960230</v>
      </c>
      <c r="AU20" s="14" t="s">
        <v>861</v>
      </c>
      <c r="AX20" s="15" t="s">
        <v>93</v>
      </c>
      <c r="AY20" s="64" t="str">
        <f t="shared" ca="1" si="7"/>
        <v>202505</v>
      </c>
      <c r="AZ20" s="15">
        <f t="shared" si="8"/>
        <v>1960230</v>
      </c>
    </row>
    <row r="21" spans="1:52" ht="16.5" x14ac:dyDescent="0.3">
      <c r="A21" s="32">
        <v>3</v>
      </c>
      <c r="B21" s="32" t="str">
        <f>[1]근무일표연동!B22</f>
        <v>문명준</v>
      </c>
      <c r="C21" s="25" t="str">
        <f>_xlfn.IFNA(VLOOKUP(B21,[1]일용주민번호!A:B,2,0),"")</f>
        <v>8109161845918</v>
      </c>
      <c r="D21" s="32" t="str">
        <f ca="1">LEFT([1]근무일표연동!$B$1,4)&amp;TEXT(LEFT([1]근무일표연동!$C$1,2),"00")</f>
        <v>202505</v>
      </c>
      <c r="E21" s="25" t="s">
        <v>907</v>
      </c>
      <c r="F21" s="25"/>
      <c r="G21" s="25" t="s">
        <v>908</v>
      </c>
      <c r="H21" s="25" t="s">
        <v>910</v>
      </c>
      <c r="I21" s="25" t="s">
        <v>912</v>
      </c>
      <c r="J21" s="25" t="s">
        <v>914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1</v>
      </c>
      <c r="AL21"/>
      <c r="AM21"/>
      <c r="AN21"/>
      <c r="AO21"/>
      <c r="AP21" s="63">
        <f t="shared" si="9"/>
        <v>1</v>
      </c>
      <c r="AQ21" s="14" t="s">
        <v>867</v>
      </c>
      <c r="AR21" s="63">
        <f t="shared" si="5"/>
        <v>1</v>
      </c>
      <c r="AS21" s="15">
        <v>130000</v>
      </c>
      <c r="AT21" s="15">
        <f t="shared" si="6"/>
        <v>130000</v>
      </c>
      <c r="AU21" s="14" t="s">
        <v>861</v>
      </c>
      <c r="AX21" s="15" t="s">
        <v>93</v>
      </c>
      <c r="AY21" s="64" t="str">
        <f t="shared" ca="1" si="7"/>
        <v>202505</v>
      </c>
      <c r="AZ21" s="15">
        <f t="shared" si="8"/>
        <v>130000</v>
      </c>
    </row>
    <row r="22" spans="1:52" ht="16.5" x14ac:dyDescent="0.3">
      <c r="A22" s="32">
        <v>3</v>
      </c>
      <c r="B22" s="32" t="str">
        <f>[1]근무일표연동!B23</f>
        <v>진희수</v>
      </c>
      <c r="C22" s="25" t="str">
        <f>_xlfn.IFNA(VLOOKUP(B22,[1]일용주민번호!A:B,2,0),"")</f>
        <v>9003312120412</v>
      </c>
      <c r="D22" s="32" t="str">
        <f ca="1">LEFT([1]근무일표연동!$B$1,4)&amp;TEXT(LEFT([1]근무일표연동!$C$1,2),"00")</f>
        <v>202505</v>
      </c>
      <c r="E22" s="25" t="s">
        <v>907</v>
      </c>
      <c r="F22" s="25"/>
      <c r="G22" s="25" t="s">
        <v>908</v>
      </c>
      <c r="H22" s="25" t="s">
        <v>910</v>
      </c>
      <c r="I22" s="25" t="s">
        <v>912</v>
      </c>
      <c r="J22" s="25" t="s">
        <v>914</v>
      </c>
      <c r="K22">
        <v>1</v>
      </c>
      <c r="L22">
        <v>1</v>
      </c>
      <c r="M22">
        <v>1</v>
      </c>
      <c r="N22"/>
      <c r="O22">
        <v>1</v>
      </c>
      <c r="P22">
        <v>1</v>
      </c>
      <c r="Q22">
        <v>1</v>
      </c>
      <c r="R22">
        <v>1</v>
      </c>
      <c r="S22">
        <v>1</v>
      </c>
      <c r="T22"/>
      <c r="U22"/>
      <c r="V22"/>
      <c r="W22">
        <v>1</v>
      </c>
      <c r="X22">
        <v>1</v>
      </c>
      <c r="Y22">
        <v>1</v>
      </c>
      <c r="Z22">
        <v>1</v>
      </c>
      <c r="AA22"/>
      <c r="AB22"/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/>
      <c r="AJ22"/>
      <c r="AK22">
        <v>1</v>
      </c>
      <c r="AL22">
        <v>1</v>
      </c>
      <c r="AM22">
        <v>1</v>
      </c>
      <c r="AN22">
        <v>1</v>
      </c>
      <c r="AO22"/>
      <c r="AP22" s="63">
        <f t="shared" si="9"/>
        <v>22</v>
      </c>
      <c r="AQ22" s="14" t="s">
        <v>867</v>
      </c>
      <c r="AR22" s="63">
        <f t="shared" si="5"/>
        <v>22</v>
      </c>
      <c r="AS22" s="15">
        <v>3198070</v>
      </c>
      <c r="AT22" s="15">
        <f t="shared" si="6"/>
        <v>3198070</v>
      </c>
      <c r="AU22" s="14" t="s">
        <v>861</v>
      </c>
      <c r="AX22" s="15" t="s">
        <v>93</v>
      </c>
      <c r="AY22" s="64" t="str">
        <f t="shared" ca="1" si="7"/>
        <v>202505</v>
      </c>
      <c r="AZ22" s="15">
        <f t="shared" si="8"/>
        <v>3198070</v>
      </c>
    </row>
    <row r="23" spans="1:52" ht="16.5" x14ac:dyDescent="0.3">
      <c r="A23" s="32">
        <v>3</v>
      </c>
      <c r="B23" s="32" t="str">
        <f>[1]근무일표연동!B24</f>
        <v>김귀숙</v>
      </c>
      <c r="C23" s="25" t="str">
        <f>_xlfn.IFNA(VLOOKUP(B23,[1]일용주민번호!A:B,2,0),"")</f>
        <v>6511032813516</v>
      </c>
      <c r="D23" s="32" t="str">
        <f ca="1">LEFT([1]근무일표연동!$B$1,4)&amp;TEXT(LEFT([1]근무일표연동!$C$1,2),"00")</f>
        <v>202505</v>
      </c>
      <c r="E23" s="25" t="s">
        <v>907</v>
      </c>
      <c r="F23" s="25"/>
      <c r="G23" s="25" t="s">
        <v>908</v>
      </c>
      <c r="H23" s="25" t="s">
        <v>910</v>
      </c>
      <c r="I23" s="25" t="s">
        <v>912</v>
      </c>
      <c r="J23" s="25" t="s">
        <v>914</v>
      </c>
      <c r="K23"/>
      <c r="L23"/>
      <c r="M23"/>
      <c r="N23"/>
      <c r="O23"/>
      <c r="P23"/>
      <c r="Q23"/>
      <c r="R23"/>
      <c r="S23"/>
      <c r="T23"/>
      <c r="U23"/>
      <c r="V23"/>
      <c r="W23">
        <v>1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s="63">
        <f t="shared" si="9"/>
        <v>1</v>
      </c>
      <c r="AQ23" s="14" t="s">
        <v>867</v>
      </c>
      <c r="AR23" s="63">
        <f t="shared" si="5"/>
        <v>1</v>
      </c>
      <c r="AS23" s="15">
        <v>130000</v>
      </c>
      <c r="AT23" s="15">
        <f t="shared" si="6"/>
        <v>130000</v>
      </c>
      <c r="AU23" s="14" t="s">
        <v>861</v>
      </c>
      <c r="AX23" s="15" t="s">
        <v>93</v>
      </c>
      <c r="AY23" s="64" t="str">
        <f t="shared" ca="1" si="7"/>
        <v>202505</v>
      </c>
      <c r="AZ23" s="15">
        <f t="shared" si="8"/>
        <v>130000</v>
      </c>
    </row>
    <row r="24" spans="1:52" ht="16.5" x14ac:dyDescent="0.3">
      <c r="A24" s="32">
        <v>3</v>
      </c>
      <c r="B24" s="32" t="str">
        <f>[1]근무일표연동!B25</f>
        <v>김정은</v>
      </c>
      <c r="C24" s="25" t="str">
        <f>_xlfn.IFNA(VLOOKUP(B24,[1]일용주민번호!A:B,2,0),"")</f>
        <v>7505212835619</v>
      </c>
      <c r="D24" s="32" t="str">
        <f ca="1">LEFT([1]근무일표연동!$B$1,4)&amp;TEXT(LEFT([1]근무일표연동!$C$1,2),"00")</f>
        <v>202505</v>
      </c>
      <c r="E24" s="25" t="s">
        <v>907</v>
      </c>
      <c r="F24" s="25"/>
      <c r="G24" s="25" t="s">
        <v>908</v>
      </c>
      <c r="H24" s="25" t="s">
        <v>910</v>
      </c>
      <c r="I24" s="25" t="s">
        <v>912</v>
      </c>
      <c r="J24" s="25" t="s">
        <v>914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1</v>
      </c>
      <c r="AM24"/>
      <c r="AN24"/>
      <c r="AO24"/>
      <c r="AP24" s="63">
        <f t="shared" si="9"/>
        <v>1</v>
      </c>
      <c r="AQ24" s="14" t="s">
        <v>867</v>
      </c>
      <c r="AR24" s="63">
        <f t="shared" si="5"/>
        <v>1</v>
      </c>
      <c r="AS24" s="15">
        <v>130000</v>
      </c>
      <c r="AT24" s="15">
        <f t="shared" si="6"/>
        <v>130000</v>
      </c>
      <c r="AU24" s="14" t="s">
        <v>861</v>
      </c>
      <c r="AX24" s="15" t="s">
        <v>93</v>
      </c>
      <c r="AY24" s="64" t="str">
        <f t="shared" ca="1" si="7"/>
        <v>202505</v>
      </c>
      <c r="AZ24" s="15">
        <f t="shared" si="8"/>
        <v>130000</v>
      </c>
    </row>
    <row r="25" spans="1:52" ht="16.5" x14ac:dyDescent="0.3">
      <c r="A25" s="32">
        <v>3</v>
      </c>
      <c r="B25" s="32" t="str">
        <f>[1]근무일표연동!B26</f>
        <v>김정임</v>
      </c>
      <c r="C25" s="25" t="str">
        <f>_xlfn.IFNA(VLOOKUP(B25,[1]일용주민번호!A:B,2,0),"")</f>
        <v>7101152682725</v>
      </c>
      <c r="D25" s="32" t="str">
        <f ca="1">LEFT([1]근무일표연동!$B$1,4)&amp;TEXT(LEFT([1]근무일표연동!$C$1,2),"00")</f>
        <v>202505</v>
      </c>
      <c r="E25" s="25" t="s">
        <v>907</v>
      </c>
      <c r="F25" s="25"/>
      <c r="G25" s="25" t="s">
        <v>908</v>
      </c>
      <c r="H25" s="25" t="s">
        <v>910</v>
      </c>
      <c r="I25" s="25" t="s">
        <v>912</v>
      </c>
      <c r="J25" s="25" t="s">
        <v>914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</v>
      </c>
      <c r="AL25">
        <v>1</v>
      </c>
      <c r="AM25">
        <v>1</v>
      </c>
      <c r="AN25">
        <v>1</v>
      </c>
      <c r="AO25"/>
      <c r="AP25" s="63">
        <f t="shared" si="9"/>
        <v>4</v>
      </c>
      <c r="AQ25" s="14" t="s">
        <v>867</v>
      </c>
      <c r="AR25" s="63">
        <f t="shared" si="5"/>
        <v>4</v>
      </c>
      <c r="AS25" s="15">
        <v>505600</v>
      </c>
      <c r="AT25" s="15">
        <f t="shared" si="6"/>
        <v>505600</v>
      </c>
      <c r="AU25" s="14" t="s">
        <v>861</v>
      </c>
      <c r="AX25" s="15" t="s">
        <v>93</v>
      </c>
      <c r="AY25" s="64" t="str">
        <f t="shared" ca="1" si="7"/>
        <v>202505</v>
      </c>
      <c r="AZ25" s="15">
        <f t="shared" si="8"/>
        <v>505600</v>
      </c>
    </row>
    <row r="26" spans="1:52" ht="16.5" x14ac:dyDescent="0.3">
      <c r="A26" s="32">
        <v>3</v>
      </c>
      <c r="B26" s="32" t="str">
        <f>[1]근무일표연동!B27</f>
        <v>황혜진</v>
      </c>
      <c r="C26" s="25" t="str">
        <f>_xlfn.IFNA(VLOOKUP(B26,[1]일용주민번호!A:B,2,0),"")</f>
        <v>8402272674511</v>
      </c>
      <c r="D26" s="32" t="str">
        <f ca="1">LEFT([1]근무일표연동!$B$1,4)&amp;TEXT(LEFT([1]근무일표연동!$C$1,2),"00")</f>
        <v>202505</v>
      </c>
      <c r="E26" s="25" t="s">
        <v>907</v>
      </c>
      <c r="F26" s="25"/>
      <c r="G26" s="25" t="s">
        <v>908</v>
      </c>
      <c r="H26" s="25" t="s">
        <v>910</v>
      </c>
      <c r="I26" s="25" t="s">
        <v>912</v>
      </c>
      <c r="J26" s="25" t="s">
        <v>914</v>
      </c>
      <c r="K26">
        <v>1</v>
      </c>
      <c r="L26">
        <v>1</v>
      </c>
      <c r="M26">
        <v>1</v>
      </c>
      <c r="N26"/>
      <c r="O26"/>
      <c r="P26">
        <v>1</v>
      </c>
      <c r="Q26">
        <v>1</v>
      </c>
      <c r="R26">
        <v>1</v>
      </c>
      <c r="S26">
        <v>1</v>
      </c>
      <c r="T26"/>
      <c r="U26"/>
      <c r="V26">
        <v>1</v>
      </c>
      <c r="W26">
        <v>1</v>
      </c>
      <c r="X26">
        <v>1</v>
      </c>
      <c r="Y26">
        <v>1</v>
      </c>
      <c r="Z26">
        <v>1</v>
      </c>
      <c r="AA26"/>
      <c r="AB26"/>
      <c r="AC26">
        <v>1</v>
      </c>
      <c r="AD26">
        <v>1</v>
      </c>
      <c r="AE26">
        <v>1</v>
      </c>
      <c r="AF26">
        <v>1</v>
      </c>
      <c r="AG26">
        <v>1</v>
      </c>
      <c r="AH26"/>
      <c r="AI26"/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 s="63">
        <f t="shared" si="9"/>
        <v>23</v>
      </c>
      <c r="AQ26" s="14" t="s">
        <v>867</v>
      </c>
      <c r="AR26" s="63">
        <f t="shared" si="5"/>
        <v>23</v>
      </c>
      <c r="AS26" s="15">
        <v>2907200</v>
      </c>
      <c r="AT26" s="15">
        <f t="shared" ref="AT26:AT27" si="10">AS26</f>
        <v>2907200</v>
      </c>
      <c r="AU26" s="14" t="s">
        <v>861</v>
      </c>
      <c r="AX26" s="15" t="s">
        <v>93</v>
      </c>
      <c r="AY26" s="64" t="str">
        <f t="shared" ref="AY26:AY27" ca="1" si="11">D26</f>
        <v>202505</v>
      </c>
      <c r="AZ26" s="15">
        <f t="shared" ref="AZ26:AZ27" si="12">AS26</f>
        <v>2907200</v>
      </c>
    </row>
    <row r="27" spans="1:52" ht="16.5" x14ac:dyDescent="0.3">
      <c r="A27" s="32">
        <v>3</v>
      </c>
      <c r="B27" s="32" t="str">
        <f>[1]근무일표연동!B28</f>
        <v>김인수</v>
      </c>
      <c r="C27" s="25" t="str">
        <f>_xlfn.IFNA(VLOOKUP(B27,[1]일용주민번호!A:B,2,0),"")</f>
        <v>8901201203415</v>
      </c>
      <c r="D27" s="32" t="str">
        <f ca="1">LEFT([1]근무일표연동!$B$1,4)&amp;TEXT(LEFT([1]근무일표연동!$C$1,2),"00")</f>
        <v>202505</v>
      </c>
      <c r="E27" s="25" t="s">
        <v>907</v>
      </c>
      <c r="F27" s="25"/>
      <c r="G27" s="25" t="s">
        <v>908</v>
      </c>
      <c r="H27" s="25" t="s">
        <v>910</v>
      </c>
      <c r="I27" s="25" t="s">
        <v>912</v>
      </c>
      <c r="J27" s="25" t="s">
        <v>914</v>
      </c>
      <c r="K27">
        <v>1</v>
      </c>
      <c r="L27"/>
      <c r="M27">
        <v>1</v>
      </c>
      <c r="N27">
        <v>1</v>
      </c>
      <c r="O27">
        <v>1</v>
      </c>
      <c r="P27">
        <v>1</v>
      </c>
      <c r="Q27"/>
      <c r="R27"/>
      <c r="S27"/>
      <c r="T27">
        <v>1</v>
      </c>
      <c r="U27">
        <v>1</v>
      </c>
      <c r="V27"/>
      <c r="W27"/>
      <c r="X27"/>
      <c r="Y27"/>
      <c r="Z27"/>
      <c r="AA27">
        <v>1</v>
      </c>
      <c r="AB27">
        <v>1</v>
      </c>
      <c r="AC27"/>
      <c r="AD27"/>
      <c r="AE27"/>
      <c r="AF27"/>
      <c r="AG27"/>
      <c r="AH27">
        <v>1</v>
      </c>
      <c r="AI27">
        <v>1</v>
      </c>
      <c r="AJ27"/>
      <c r="AK27"/>
      <c r="AL27"/>
      <c r="AM27"/>
      <c r="AN27"/>
      <c r="AO27"/>
      <c r="AP27" s="63">
        <f t="shared" si="9"/>
        <v>11</v>
      </c>
      <c r="AQ27" s="14" t="s">
        <v>867</v>
      </c>
      <c r="AR27" s="63">
        <f t="shared" ref="AR27" si="13">AP27</f>
        <v>11</v>
      </c>
      <c r="AS27" s="15">
        <v>1390400</v>
      </c>
      <c r="AT27" s="15">
        <f t="shared" si="10"/>
        <v>1390400</v>
      </c>
      <c r="AU27" s="14" t="s">
        <v>861</v>
      </c>
      <c r="AX27" s="15" t="s">
        <v>93</v>
      </c>
      <c r="AY27" s="64" t="str">
        <f t="shared" ca="1" si="11"/>
        <v>202505</v>
      </c>
      <c r="AZ27" s="15">
        <f t="shared" si="12"/>
        <v>1390400</v>
      </c>
    </row>
  </sheetData>
  <phoneticPr fontId="2" type="noConversion"/>
  <conditionalFormatting sqref="B2:B27">
    <cfRule type="duplicateValues" dxfId="0" priority="1"/>
  </conditionalFormatting>
  <dataValidations xWindow="1560" yWindow="251" count="16">
    <dataValidation allowBlank="1" showInputMessage="1" showErrorMessage="1" promptTitle="주민(외국인)등록번호" prompt="'-' 제외한 13자리 숫자만 입력" sqref="C1" xr:uid="{00000000-0002-0000-0000-000000000000}"/>
    <dataValidation allowBlank="1" showInputMessage="1" showErrorMessage="1" promptTitle="신고월(근로년월)" prompt="신고사유가 발생한 근로년월로, YYYYMM 형식으로 기재_x000a_(예: 2022년 5월 근로분 신고 -&gt; 202205)" sqref="D1" xr:uid="{00000000-0002-0000-0000-000001000000}"/>
    <dataValidation allowBlank="1" showInputMessage="1" showErrorMessage="1" promptTitle="신고 근로자의 국적" prompt="국적,직종,보험료부과구분코드 시트 참고_x000a_" sqref="E1" xr:uid="{00000000-0002-0000-0000-000002000000}"/>
    <dataValidation allowBlank="1" showInputMessage="1" showErrorMessage="1" promptTitle="근로자의 체류자격" prompt="체류자격 시트 참고, '-' 제외한 코드 기재" sqref="F1" xr:uid="{00000000-0002-0000-0000-000003000000}"/>
    <dataValidation allowBlank="1" showInputMessage="1" showErrorMessage="1" promptTitle="전화번호의 지역번호" prompt="휴대전화인 경우, 011,010 등 기재" sqref="G1" xr:uid="{00000000-0002-0000-0000-000004000000}"/>
    <dataValidation allowBlank="1" showInputMessage="1" showErrorMessage="1" promptTitle="근로자의 직종코드" prompt="국적,직종,보험료부과구분코드 시트 및 한국고용직업분류 중 소분류(136개) 직종현황 참고_x000a_" sqref="J1" xr:uid="{00000000-0002-0000-0000-000005000000}"/>
    <dataValidation allowBlank="1" showInputMessage="1" showErrorMessage="1" promptTitle="실제 근로를 제공한 날" prompt="해당 날짜에 '1' 기재" sqref="K1:AO1" xr:uid="{00000000-0002-0000-0000-000006000000}"/>
    <dataValidation allowBlank="1" showInputMessage="1" showErrorMessage="1" promptTitle="근로날짜의 합" prompt="신고 근로년월에 실제 근로를 제공한 일수" sqref="AP1" xr:uid="{00000000-0002-0000-0000-000007000000}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R1" xr:uid="{00000000-0002-0000-0000-000008000000}"/>
    <dataValidation allowBlank="1" showInputMessage="1" showErrorMessage="1" promptTitle="해당 월에 발생된 과세소득 금액" prompt="근로소득(소득세법 제20조) - 비과세 근로소득(소득세법 제12조제3호)" sqref="AS1" xr:uid="{00000000-0002-0000-0000-000009000000}"/>
    <dataValidation allowBlank="1" showInputMessage="1" showErrorMessage="1" promptTitle="해당 월에 발생한 임금 총액" prompt="근로기준법 제2조에 따른 임금" sqref="AT1" xr:uid="{00000000-0002-0000-0000-00000A000000}"/>
    <dataValidation allowBlank="1" showInputMessage="1" showErrorMessage="1" promptTitle="해당자만 기재" prompt="보험료부과구분 코드 시트 참고" sqref="AV1" xr:uid="{00000000-0002-0000-0000-00000B000000}"/>
    <dataValidation allowBlank="1" showInputMessage="1" showErrorMessage="1" promptTitle="해당자만 기재" prompt="보험료부과구분코드 시트 참고" sqref="AW1" xr:uid="{00000000-0002-0000-0000-00000C000000}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X1" xr:uid="{00000000-0002-0000-0000-00000D000000}"/>
    <dataValidation allowBlank="1" showInputMessage="1" showErrorMessage="1" promptTitle="보험구분 선택" prompt="1. 산재보험_x000a_3. 고용보험_x000a_5. 산재 및 고용보험" sqref="A1" xr:uid="{00000000-0002-0000-0000-00000E000000}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U1" xr:uid="{00000000-0002-0000-0000-00000F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28"/>
  <sheetViews>
    <sheetView zoomScaleNormal="100" zoomScaleSheetLayoutView="100" workbookViewId="0">
      <selection activeCell="C30" sqref="C30"/>
    </sheetView>
  </sheetViews>
  <sheetFormatPr defaultRowHeight="13.5" x14ac:dyDescent="0.3"/>
  <cols>
    <col min="1" max="1" width="7.375" style="1" customWidth="1"/>
    <col min="2" max="2" width="25.375" style="2" bestFit="1" customWidth="1"/>
    <col min="3" max="3" width="86.5" style="3" bestFit="1" customWidth="1"/>
    <col min="4" max="4" width="16.125" style="1" bestFit="1" customWidth="1"/>
    <col min="5" max="16384" width="9" style="1"/>
  </cols>
  <sheetData>
    <row r="1" spans="1:4" ht="30" customHeight="1" x14ac:dyDescent="0.3">
      <c r="A1" s="4" t="s">
        <v>768</v>
      </c>
      <c r="C1" s="1"/>
    </row>
    <row r="2" spans="1:4" ht="5.0999999999999996" customHeight="1" x14ac:dyDescent="0.3">
      <c r="A2" s="4"/>
      <c r="C2" s="1"/>
    </row>
    <row r="3" spans="1:4" ht="103.5" customHeight="1" x14ac:dyDescent="0.3">
      <c r="A3" s="35">
        <v>1</v>
      </c>
      <c r="B3" s="41" t="s">
        <v>36</v>
      </c>
      <c r="C3" s="24" t="s">
        <v>804</v>
      </c>
      <c r="D3" s="56"/>
    </row>
    <row r="4" spans="1:4" ht="30" customHeight="1" x14ac:dyDescent="0.3">
      <c r="A4" s="35">
        <v>2</v>
      </c>
      <c r="B4" s="41" t="s">
        <v>37</v>
      </c>
      <c r="C4" s="23" t="s">
        <v>76</v>
      </c>
      <c r="D4" s="56"/>
    </row>
    <row r="5" spans="1:4" ht="30" customHeight="1" x14ac:dyDescent="0.3">
      <c r="A5" s="35">
        <v>3</v>
      </c>
      <c r="B5" s="42" t="s">
        <v>45</v>
      </c>
      <c r="C5" s="36" t="s">
        <v>799</v>
      </c>
      <c r="D5" s="56"/>
    </row>
    <row r="6" spans="1:4" ht="30" customHeight="1" x14ac:dyDescent="0.3">
      <c r="A6" s="35">
        <v>4</v>
      </c>
      <c r="B6" s="43" t="s">
        <v>1</v>
      </c>
      <c r="C6" s="37" t="s">
        <v>791</v>
      </c>
      <c r="D6" s="56"/>
    </row>
    <row r="7" spans="1:4" ht="30" customHeight="1" x14ac:dyDescent="0.3">
      <c r="A7" s="38">
        <v>5</v>
      </c>
      <c r="B7" s="44" t="s">
        <v>2</v>
      </c>
      <c r="C7" s="36" t="s">
        <v>792</v>
      </c>
      <c r="D7" s="56"/>
    </row>
    <row r="8" spans="1:4" ht="30" customHeight="1" x14ac:dyDescent="0.3">
      <c r="A8" s="38">
        <v>6</v>
      </c>
      <c r="B8" s="44" t="s">
        <v>3</v>
      </c>
      <c r="C8" s="23" t="s">
        <v>793</v>
      </c>
      <c r="D8" s="56"/>
    </row>
    <row r="9" spans="1:4" ht="30" customHeight="1" x14ac:dyDescent="0.3">
      <c r="A9" s="38">
        <v>7</v>
      </c>
      <c r="B9" s="45" t="s">
        <v>40</v>
      </c>
      <c r="C9" s="37" t="s">
        <v>794</v>
      </c>
      <c r="D9" s="56"/>
    </row>
    <row r="10" spans="1:4" ht="30" customHeight="1" x14ac:dyDescent="0.3">
      <c r="A10" s="38">
        <v>8</v>
      </c>
      <c r="B10" s="44" t="s">
        <v>42</v>
      </c>
      <c r="C10" s="36" t="s">
        <v>795</v>
      </c>
      <c r="D10" s="56"/>
    </row>
    <row r="11" spans="1:4" ht="30" customHeight="1" x14ac:dyDescent="0.3">
      <c r="A11" s="38">
        <v>9</v>
      </c>
      <c r="B11" s="44" t="s">
        <v>44</v>
      </c>
      <c r="C11" s="37" t="s">
        <v>796</v>
      </c>
      <c r="D11" s="56"/>
    </row>
    <row r="12" spans="1:4" ht="30" customHeight="1" x14ac:dyDescent="0.3">
      <c r="A12" s="54">
        <v>10</v>
      </c>
      <c r="B12" s="55" t="s">
        <v>4</v>
      </c>
      <c r="C12" s="23" t="s">
        <v>797</v>
      </c>
      <c r="D12" s="56"/>
    </row>
    <row r="13" spans="1:4" ht="30" customHeight="1" x14ac:dyDescent="0.3">
      <c r="A13" s="35">
        <v>11</v>
      </c>
      <c r="B13" s="43" t="s">
        <v>38</v>
      </c>
      <c r="C13" s="36" t="s">
        <v>798</v>
      </c>
      <c r="D13" s="56"/>
    </row>
    <row r="14" spans="1:4" ht="30" customHeight="1" x14ac:dyDescent="0.3">
      <c r="A14" s="35">
        <v>12</v>
      </c>
      <c r="B14" s="43" t="s">
        <v>32</v>
      </c>
      <c r="C14" s="36" t="s">
        <v>800</v>
      </c>
      <c r="D14" s="56"/>
    </row>
    <row r="15" spans="1:4" ht="30" customHeight="1" x14ac:dyDescent="0.3">
      <c r="A15" s="35">
        <v>13</v>
      </c>
      <c r="B15" s="43" t="s">
        <v>65</v>
      </c>
      <c r="C15" s="37" t="s">
        <v>801</v>
      </c>
      <c r="D15" s="56"/>
    </row>
    <row r="16" spans="1:4" ht="50.1" customHeight="1" x14ac:dyDescent="0.3">
      <c r="A16" s="35">
        <v>14</v>
      </c>
      <c r="B16" s="43" t="s">
        <v>787</v>
      </c>
      <c r="C16" s="53" t="s">
        <v>766</v>
      </c>
      <c r="D16" s="56"/>
    </row>
    <row r="17" spans="1:4" ht="30" customHeight="1" x14ac:dyDescent="0.3">
      <c r="A17" s="35">
        <v>15</v>
      </c>
      <c r="B17" s="43" t="s">
        <v>33</v>
      </c>
      <c r="C17" s="37" t="s">
        <v>802</v>
      </c>
      <c r="D17" s="56"/>
    </row>
    <row r="18" spans="1:4" ht="30" customHeight="1" x14ac:dyDescent="0.3">
      <c r="A18" s="35">
        <v>16</v>
      </c>
      <c r="B18" s="43" t="s">
        <v>34</v>
      </c>
      <c r="C18" s="36" t="s">
        <v>803</v>
      </c>
      <c r="D18" s="56"/>
    </row>
    <row r="19" spans="1:4" ht="60" customHeight="1" x14ac:dyDescent="0.3">
      <c r="A19" s="38">
        <v>17</v>
      </c>
      <c r="B19" s="46" t="s">
        <v>35</v>
      </c>
      <c r="C19" s="39" t="s">
        <v>805</v>
      </c>
      <c r="D19" s="56"/>
    </row>
    <row r="20" spans="1:4" ht="30" customHeight="1" x14ac:dyDescent="0.3">
      <c r="A20" s="35">
        <v>18</v>
      </c>
      <c r="B20" s="47" t="s">
        <v>66</v>
      </c>
      <c r="C20" s="23" t="s">
        <v>806</v>
      </c>
      <c r="D20" s="56"/>
    </row>
    <row r="21" spans="1:4" ht="30" customHeight="1" x14ac:dyDescent="0.3">
      <c r="A21" s="35">
        <v>19</v>
      </c>
      <c r="B21" s="47" t="s">
        <v>86</v>
      </c>
      <c r="C21" s="23" t="s">
        <v>807</v>
      </c>
      <c r="D21" s="56"/>
    </row>
    <row r="22" spans="1:4" ht="30" customHeight="1" x14ac:dyDescent="0.3">
      <c r="A22" s="22">
        <v>20</v>
      </c>
      <c r="B22" s="48" t="s">
        <v>763</v>
      </c>
      <c r="C22" s="57" t="s">
        <v>94</v>
      </c>
      <c r="D22" s="66" t="s">
        <v>810</v>
      </c>
    </row>
    <row r="23" spans="1:4" ht="30" customHeight="1" x14ac:dyDescent="0.3">
      <c r="A23" s="22">
        <v>21</v>
      </c>
      <c r="B23" s="48" t="s">
        <v>100</v>
      </c>
      <c r="C23" s="10" t="s">
        <v>767</v>
      </c>
      <c r="D23" s="67"/>
    </row>
    <row r="24" spans="1:4" ht="30" customHeight="1" x14ac:dyDescent="0.3">
      <c r="A24" s="22">
        <v>22</v>
      </c>
      <c r="B24" s="48" t="s">
        <v>98</v>
      </c>
      <c r="C24" s="10" t="s">
        <v>809</v>
      </c>
      <c r="D24" s="67"/>
    </row>
    <row r="25" spans="1:4" ht="30" customHeight="1" x14ac:dyDescent="0.3">
      <c r="A25" s="22">
        <v>23</v>
      </c>
      <c r="B25" s="48" t="s">
        <v>87</v>
      </c>
      <c r="C25" s="23" t="s">
        <v>90</v>
      </c>
      <c r="D25" s="67"/>
    </row>
    <row r="26" spans="1:4" ht="30" customHeight="1" x14ac:dyDescent="0.3">
      <c r="A26" s="22">
        <v>24</v>
      </c>
      <c r="B26" s="48" t="s">
        <v>88</v>
      </c>
      <c r="C26" s="24" t="s">
        <v>91</v>
      </c>
      <c r="D26" s="67"/>
    </row>
    <row r="27" spans="1:4" ht="30" customHeight="1" x14ac:dyDescent="0.3">
      <c r="A27" s="22">
        <v>25</v>
      </c>
      <c r="B27" s="48" t="s">
        <v>89</v>
      </c>
      <c r="C27" s="23" t="s">
        <v>764</v>
      </c>
      <c r="D27" s="68"/>
    </row>
    <row r="28" spans="1:4" ht="16.5" customHeight="1" x14ac:dyDescent="0.3">
      <c r="A28" s="69" t="s">
        <v>808</v>
      </c>
      <c r="B28" s="69"/>
      <c r="C28" s="69"/>
    </row>
  </sheetData>
  <mergeCells count="2">
    <mergeCell ref="D22:D27"/>
    <mergeCell ref="A28:C2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C49"/>
  <sheetViews>
    <sheetView zoomScaleNormal="100" workbookViewId="0">
      <pane ySplit="1" topLeftCell="A2" activePane="bottomLeft" state="frozen"/>
      <selection pane="bottomLeft" activeCell="F22" sqref="F22"/>
    </sheetView>
  </sheetViews>
  <sheetFormatPr defaultRowHeight="16.5" x14ac:dyDescent="0.3"/>
  <cols>
    <col min="1" max="1" width="8.25" style="8" bestFit="1" customWidth="1"/>
    <col min="2" max="2" width="8.375" style="8" bestFit="1" customWidth="1"/>
    <col min="3" max="3" width="18.375" style="8" bestFit="1" customWidth="1"/>
    <col min="4" max="4" width="7" style="8" bestFit="1" customWidth="1"/>
    <col min="5" max="5" width="8.25" style="8" bestFit="1" customWidth="1"/>
    <col min="6" max="6" width="11.625" style="8" bestFit="1" customWidth="1"/>
    <col min="7" max="7" width="12.875" style="8" bestFit="1" customWidth="1"/>
    <col min="8" max="8" width="9.375" style="8" bestFit="1" customWidth="1"/>
    <col min="9" max="9" width="11" style="8" bestFit="1" customWidth="1"/>
    <col min="10" max="10" width="8.25" style="8" bestFit="1" customWidth="1"/>
    <col min="11" max="19" width="4.25" style="7" bestFit="1" customWidth="1"/>
    <col min="20" max="41" width="5.125" style="7" bestFit="1" customWidth="1"/>
    <col min="42" max="42" width="8.25" style="7" bestFit="1" customWidth="1"/>
    <col min="43" max="43" width="13.375" style="7" bestFit="1" customWidth="1"/>
    <col min="44" max="44" width="13.375" style="6" bestFit="1" customWidth="1"/>
    <col min="45" max="46" width="8.25" style="8" bestFit="1" customWidth="1"/>
    <col min="47" max="47" width="11.625" style="7" bestFit="1" customWidth="1"/>
    <col min="48" max="49" width="13.375" style="7" bestFit="1" customWidth="1"/>
    <col min="50" max="50" width="11.625" style="7" bestFit="1" customWidth="1"/>
    <col min="51" max="51" width="7" style="7" bestFit="1" customWidth="1"/>
    <col min="52" max="52" width="16.625" style="7" bestFit="1" customWidth="1"/>
    <col min="53" max="53" width="9.875" style="8" bestFit="1" customWidth="1"/>
    <col min="54" max="54" width="6.625" style="8" bestFit="1" customWidth="1"/>
    <col min="55" max="55" width="9.875" style="8" bestFit="1" customWidth="1"/>
    <col min="56" max="16384" width="9" style="8"/>
  </cols>
  <sheetData>
    <row r="1" spans="1:55" s="5" customFormat="1" ht="47.25" customHeight="1" x14ac:dyDescent="0.3">
      <c r="A1" s="17" t="s">
        <v>46</v>
      </c>
      <c r="B1" s="17" t="s">
        <v>47</v>
      </c>
      <c r="C1" s="17" t="s">
        <v>48</v>
      </c>
      <c r="D1" s="17" t="s">
        <v>49</v>
      </c>
      <c r="E1" s="18" t="s">
        <v>50</v>
      </c>
      <c r="F1" s="18" t="s">
        <v>51</v>
      </c>
      <c r="G1" s="19" t="s">
        <v>39</v>
      </c>
      <c r="H1" s="19" t="s">
        <v>41</v>
      </c>
      <c r="I1" s="19" t="s">
        <v>43</v>
      </c>
      <c r="J1" s="18" t="s">
        <v>52</v>
      </c>
      <c r="K1" s="17" t="s">
        <v>53</v>
      </c>
      <c r="L1" s="17" t="s">
        <v>54</v>
      </c>
      <c r="M1" s="17" t="s">
        <v>55</v>
      </c>
      <c r="N1" s="17" t="s">
        <v>5</v>
      </c>
      <c r="O1" s="17" t="s">
        <v>6</v>
      </c>
      <c r="P1" s="17" t="s">
        <v>7</v>
      </c>
      <c r="Q1" s="17" t="s">
        <v>8</v>
      </c>
      <c r="R1" s="17" t="s">
        <v>9</v>
      </c>
      <c r="S1" s="17" t="s">
        <v>10</v>
      </c>
      <c r="T1" s="17" t="s">
        <v>11</v>
      </c>
      <c r="U1" s="17" t="s">
        <v>12</v>
      </c>
      <c r="V1" s="17" t="s">
        <v>13</v>
      </c>
      <c r="W1" s="17" t="s">
        <v>14</v>
      </c>
      <c r="X1" s="17" t="s">
        <v>15</v>
      </c>
      <c r="Y1" s="17" t="s">
        <v>16</v>
      </c>
      <c r="Z1" s="17" t="s">
        <v>17</v>
      </c>
      <c r="AA1" s="17" t="s">
        <v>18</v>
      </c>
      <c r="AB1" s="17" t="s">
        <v>19</v>
      </c>
      <c r="AC1" s="17" t="s">
        <v>20</v>
      </c>
      <c r="AD1" s="17" t="s">
        <v>21</v>
      </c>
      <c r="AE1" s="17" t="s">
        <v>22</v>
      </c>
      <c r="AF1" s="17" t="s">
        <v>23</v>
      </c>
      <c r="AG1" s="17" t="s">
        <v>24</v>
      </c>
      <c r="AH1" s="17" t="s">
        <v>25</v>
      </c>
      <c r="AI1" s="17" t="s">
        <v>26</v>
      </c>
      <c r="AJ1" s="17" t="s">
        <v>27</v>
      </c>
      <c r="AK1" s="17" t="s">
        <v>28</v>
      </c>
      <c r="AL1" s="17" t="s">
        <v>29</v>
      </c>
      <c r="AM1" s="17" t="s">
        <v>30</v>
      </c>
      <c r="AN1" s="17" t="s">
        <v>31</v>
      </c>
      <c r="AO1" s="17" t="s">
        <v>56</v>
      </c>
      <c r="AP1" s="17" t="s">
        <v>57</v>
      </c>
      <c r="AQ1" s="18" t="s">
        <v>65</v>
      </c>
      <c r="AR1" s="20" t="s">
        <v>97</v>
      </c>
      <c r="AS1" s="17" t="s">
        <v>58</v>
      </c>
      <c r="AT1" s="18" t="s">
        <v>59</v>
      </c>
      <c r="AU1" s="18" t="s">
        <v>60</v>
      </c>
      <c r="AV1" s="21" t="s">
        <v>63</v>
      </c>
      <c r="AW1" s="21" t="s">
        <v>64</v>
      </c>
      <c r="AX1" s="11" t="s">
        <v>92</v>
      </c>
      <c r="AY1" s="11" t="s">
        <v>98</v>
      </c>
      <c r="AZ1" s="11" t="s">
        <v>99</v>
      </c>
      <c r="BA1" s="12" t="s">
        <v>83</v>
      </c>
      <c r="BB1" s="12" t="s">
        <v>84</v>
      </c>
      <c r="BC1" s="12" t="s">
        <v>85</v>
      </c>
    </row>
    <row r="2" spans="1:55" x14ac:dyDescent="0.3">
      <c r="A2" s="25" t="s">
        <v>72</v>
      </c>
      <c r="B2" s="32" t="s">
        <v>813</v>
      </c>
      <c r="C2" s="25"/>
      <c r="D2" s="32" t="s">
        <v>814</v>
      </c>
      <c r="E2" s="25" t="s">
        <v>61</v>
      </c>
      <c r="F2" s="25"/>
      <c r="G2" s="25" t="s">
        <v>909</v>
      </c>
      <c r="H2" s="25" t="s">
        <v>911</v>
      </c>
      <c r="I2" s="25" t="s">
        <v>913</v>
      </c>
      <c r="J2" s="25" t="s">
        <v>915</v>
      </c>
      <c r="K2" s="28">
        <v>1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>
        <v>1</v>
      </c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 t="s">
        <v>79</v>
      </c>
      <c r="AQ2" s="28">
        <v>24</v>
      </c>
      <c r="AR2" s="28" t="s">
        <v>79</v>
      </c>
      <c r="AS2" s="26">
        <v>1000000</v>
      </c>
      <c r="AT2" s="25">
        <v>1000000</v>
      </c>
      <c r="AU2" s="27" t="s">
        <v>0</v>
      </c>
      <c r="AV2" s="27" t="s">
        <v>68</v>
      </c>
      <c r="AW2" s="27" t="s">
        <v>69</v>
      </c>
      <c r="AX2" s="27"/>
      <c r="AY2" s="27" t="s">
        <v>103</v>
      </c>
      <c r="AZ2" s="27" t="s">
        <v>96</v>
      </c>
      <c r="BA2" s="25"/>
      <c r="BB2" s="25"/>
      <c r="BC2" s="25"/>
    </row>
    <row r="3" spans="1:55" x14ac:dyDescent="0.3">
      <c r="A3" s="25" t="s">
        <v>79</v>
      </c>
      <c r="B3" s="32" t="s">
        <v>815</v>
      </c>
      <c r="C3" s="25"/>
      <c r="D3" s="32" t="s">
        <v>814</v>
      </c>
      <c r="E3" s="25" t="s">
        <v>61</v>
      </c>
      <c r="F3" s="25"/>
      <c r="G3" s="25" t="s">
        <v>909</v>
      </c>
      <c r="H3" s="25" t="s">
        <v>911</v>
      </c>
      <c r="I3" s="25" t="s">
        <v>913</v>
      </c>
      <c r="J3" s="25" t="s">
        <v>915</v>
      </c>
      <c r="K3" s="28"/>
      <c r="L3" s="28"/>
      <c r="M3" s="28"/>
      <c r="N3" s="28"/>
      <c r="O3" s="28"/>
      <c r="P3" s="28"/>
      <c r="Q3" s="28">
        <v>1</v>
      </c>
      <c r="R3" s="28"/>
      <c r="S3" s="28"/>
      <c r="T3" s="28"/>
      <c r="U3" s="28"/>
      <c r="V3" s="28"/>
      <c r="W3" s="28"/>
      <c r="X3" s="28"/>
      <c r="Y3" s="28"/>
      <c r="Z3" s="28"/>
      <c r="AA3" s="28">
        <v>1</v>
      </c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 t="s">
        <v>769</v>
      </c>
      <c r="AQ3" s="28">
        <v>24</v>
      </c>
      <c r="AR3" s="28" t="s">
        <v>769</v>
      </c>
      <c r="AS3" s="25">
        <v>1000000</v>
      </c>
      <c r="AT3" s="25">
        <v>1000000</v>
      </c>
      <c r="AU3" s="28" t="s">
        <v>0</v>
      </c>
      <c r="AV3" s="28"/>
      <c r="AW3" s="28"/>
      <c r="AX3" s="28" t="s">
        <v>93</v>
      </c>
      <c r="AY3" s="27" t="s">
        <v>103</v>
      </c>
      <c r="AZ3" s="28" t="s">
        <v>101</v>
      </c>
      <c r="BA3" s="25"/>
      <c r="BB3" s="25"/>
      <c r="BC3" s="25"/>
    </row>
    <row r="4" spans="1:55" x14ac:dyDescent="0.3">
      <c r="A4" s="25" t="s">
        <v>861</v>
      </c>
      <c r="B4" s="32" t="s">
        <v>816</v>
      </c>
      <c r="C4" s="25"/>
      <c r="D4" s="32" t="s">
        <v>814</v>
      </c>
      <c r="E4" s="25" t="s">
        <v>61</v>
      </c>
      <c r="F4" s="25"/>
      <c r="G4" s="25" t="s">
        <v>909</v>
      </c>
      <c r="H4" s="25" t="s">
        <v>911</v>
      </c>
      <c r="I4" s="25" t="s">
        <v>913</v>
      </c>
      <c r="J4" s="25" t="s">
        <v>915</v>
      </c>
      <c r="K4" s="28"/>
      <c r="L4" s="28"/>
      <c r="M4" s="28"/>
      <c r="N4" s="28">
        <v>1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>
        <v>1</v>
      </c>
      <c r="AC4" s="28"/>
      <c r="AD4" s="28"/>
      <c r="AE4" s="28"/>
      <c r="AF4" s="28">
        <v>1</v>
      </c>
      <c r="AG4" s="28"/>
      <c r="AH4" s="28"/>
      <c r="AI4" s="28"/>
      <c r="AJ4" s="28"/>
      <c r="AK4" s="28"/>
      <c r="AL4" s="28"/>
      <c r="AM4" s="28"/>
      <c r="AN4" s="28"/>
      <c r="AO4" s="28"/>
      <c r="AP4" s="28" t="s">
        <v>770</v>
      </c>
      <c r="AQ4" s="28">
        <v>24</v>
      </c>
      <c r="AR4" s="28" t="s">
        <v>770</v>
      </c>
      <c r="AS4" s="25">
        <v>1000000</v>
      </c>
      <c r="AT4" s="25">
        <v>1000000</v>
      </c>
      <c r="AU4" s="28" t="s">
        <v>0</v>
      </c>
      <c r="AV4" s="28"/>
      <c r="AW4" s="28"/>
      <c r="AX4" s="28"/>
      <c r="AY4" s="27" t="s">
        <v>103</v>
      </c>
      <c r="AZ4" s="28">
        <v>1000000</v>
      </c>
      <c r="BA4" s="25"/>
      <c r="BB4" s="25"/>
      <c r="BC4" s="25"/>
    </row>
    <row r="5" spans="1:55" x14ac:dyDescent="0.3">
      <c r="A5" s="25" t="s">
        <v>862</v>
      </c>
      <c r="B5" s="32" t="s">
        <v>817</v>
      </c>
      <c r="C5" s="25"/>
      <c r="D5" s="32" t="s">
        <v>814</v>
      </c>
      <c r="E5" s="25" t="s">
        <v>61</v>
      </c>
      <c r="F5" s="25"/>
      <c r="G5" s="25" t="s">
        <v>909</v>
      </c>
      <c r="H5" s="25" t="s">
        <v>911</v>
      </c>
      <c r="I5" s="25" t="s">
        <v>913</v>
      </c>
      <c r="J5" s="25" t="s">
        <v>915</v>
      </c>
      <c r="K5" s="28"/>
      <c r="L5" s="28"/>
      <c r="M5" s="28"/>
      <c r="N5" s="28"/>
      <c r="O5" s="28"/>
      <c r="P5" s="28">
        <v>1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>
        <v>1</v>
      </c>
      <c r="AL5" s="28"/>
      <c r="AM5" s="28"/>
      <c r="AN5" s="28"/>
      <c r="AO5" s="28"/>
      <c r="AP5" s="28" t="s">
        <v>79</v>
      </c>
      <c r="AQ5" s="28">
        <v>24</v>
      </c>
      <c r="AR5" s="28" t="s">
        <v>79</v>
      </c>
      <c r="AS5" s="25">
        <v>1000000</v>
      </c>
      <c r="AT5" s="25">
        <v>1000000</v>
      </c>
      <c r="AU5" s="28" t="s">
        <v>0</v>
      </c>
      <c r="AV5" s="28"/>
      <c r="AW5" s="28"/>
      <c r="AX5" s="28"/>
      <c r="AY5" s="27" t="s">
        <v>103</v>
      </c>
      <c r="AZ5" s="28">
        <v>1000000</v>
      </c>
      <c r="BA5" s="25"/>
      <c r="BB5" s="25"/>
      <c r="BC5" s="25"/>
    </row>
    <row r="6" spans="1:55" x14ac:dyDescent="0.3">
      <c r="A6" s="25" t="s">
        <v>67</v>
      </c>
      <c r="B6" s="32" t="s">
        <v>818</v>
      </c>
      <c r="C6" s="25"/>
      <c r="D6" s="32" t="s">
        <v>814</v>
      </c>
      <c r="E6" s="25" t="s">
        <v>61</v>
      </c>
      <c r="F6" s="25"/>
      <c r="G6" s="25" t="s">
        <v>909</v>
      </c>
      <c r="H6" s="25" t="s">
        <v>911</v>
      </c>
      <c r="I6" s="25" t="s">
        <v>913</v>
      </c>
      <c r="J6" s="25" t="s">
        <v>915</v>
      </c>
      <c r="K6" s="28"/>
      <c r="L6" s="28"/>
      <c r="M6" s="28" t="s"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>
        <v>1</v>
      </c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 t="s">
        <v>769</v>
      </c>
      <c r="AQ6" s="28">
        <v>24</v>
      </c>
      <c r="AR6" s="28" t="s">
        <v>769</v>
      </c>
      <c r="AS6" s="25">
        <v>1000000</v>
      </c>
      <c r="AT6" s="25">
        <v>1000000</v>
      </c>
      <c r="AU6" s="28" t="s">
        <v>0</v>
      </c>
      <c r="AV6" s="28" t="s">
        <v>70</v>
      </c>
      <c r="AW6" s="28" t="s">
        <v>71</v>
      </c>
      <c r="AX6" s="28"/>
      <c r="AY6" s="27" t="s">
        <v>103</v>
      </c>
      <c r="AZ6" s="28">
        <v>1000000</v>
      </c>
      <c r="BA6" s="25"/>
      <c r="BB6" s="25"/>
      <c r="BC6" s="25"/>
    </row>
    <row r="7" spans="1:55" x14ac:dyDescent="0.3">
      <c r="A7" s="25" t="s">
        <v>863</v>
      </c>
      <c r="B7" s="32" t="s">
        <v>819</v>
      </c>
      <c r="C7" s="25"/>
      <c r="D7" s="32" t="s">
        <v>814</v>
      </c>
      <c r="E7" s="25" t="s">
        <v>61</v>
      </c>
      <c r="F7" s="25"/>
      <c r="G7" s="25" t="s">
        <v>909</v>
      </c>
      <c r="H7" s="25" t="s">
        <v>911</v>
      </c>
      <c r="I7" s="25" t="s">
        <v>913</v>
      </c>
      <c r="J7" s="25" t="s">
        <v>915</v>
      </c>
      <c r="K7" s="28"/>
      <c r="L7" s="28"/>
      <c r="M7" s="28"/>
      <c r="N7" s="28"/>
      <c r="O7" s="28"/>
      <c r="P7" s="28"/>
      <c r="Q7" s="28">
        <v>1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>
        <v>1</v>
      </c>
      <c r="AH7" s="28"/>
      <c r="AI7" s="28"/>
      <c r="AJ7" s="28"/>
      <c r="AK7" s="28"/>
      <c r="AL7" s="28"/>
      <c r="AM7" s="28"/>
      <c r="AN7" s="28"/>
      <c r="AO7" s="28"/>
      <c r="AP7" s="28" t="s">
        <v>769</v>
      </c>
      <c r="AQ7" s="28">
        <v>24</v>
      </c>
      <c r="AR7" s="28" t="s">
        <v>769</v>
      </c>
      <c r="AS7" s="25">
        <v>1000000</v>
      </c>
      <c r="AT7" s="25">
        <v>1000000</v>
      </c>
      <c r="AU7" s="28" t="s">
        <v>0</v>
      </c>
      <c r="AV7" s="28"/>
      <c r="AW7" s="28"/>
      <c r="AX7" s="28"/>
      <c r="AY7" s="27" t="s">
        <v>103</v>
      </c>
      <c r="AZ7" s="28">
        <v>1000000</v>
      </c>
      <c r="BA7" s="25"/>
      <c r="BB7" s="25"/>
      <c r="BC7" s="25"/>
    </row>
    <row r="8" spans="1:55" x14ac:dyDescent="0.3">
      <c r="A8" s="25" t="s">
        <v>864</v>
      </c>
      <c r="B8" s="32" t="s">
        <v>820</v>
      </c>
      <c r="C8" s="25"/>
      <c r="D8" s="32" t="s">
        <v>814</v>
      </c>
      <c r="E8" s="25" t="s">
        <v>61</v>
      </c>
      <c r="F8" s="25"/>
      <c r="G8" s="25" t="s">
        <v>909</v>
      </c>
      <c r="H8" s="25" t="s">
        <v>911</v>
      </c>
      <c r="I8" s="25" t="s">
        <v>913</v>
      </c>
      <c r="J8" s="25" t="s">
        <v>915</v>
      </c>
      <c r="K8" s="28"/>
      <c r="L8" s="28"/>
      <c r="M8" s="28"/>
      <c r="N8" s="28">
        <v>1</v>
      </c>
      <c r="O8" s="28"/>
      <c r="P8" s="28">
        <v>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>
        <v>1</v>
      </c>
      <c r="AB8" s="28"/>
      <c r="AC8" s="28"/>
      <c r="AD8" s="28"/>
      <c r="AE8" s="28"/>
      <c r="AF8" s="28"/>
      <c r="AG8" s="28"/>
      <c r="AH8" s="28"/>
      <c r="AI8" s="28"/>
      <c r="AJ8" s="28"/>
      <c r="AK8" s="28">
        <v>1</v>
      </c>
      <c r="AL8" s="28"/>
      <c r="AM8" s="28"/>
      <c r="AN8" s="28"/>
      <c r="AO8" s="28"/>
      <c r="AP8" s="28">
        <v>4</v>
      </c>
      <c r="AQ8" s="28">
        <v>24</v>
      </c>
      <c r="AR8" s="28">
        <v>4</v>
      </c>
      <c r="AS8" s="25">
        <v>1000000</v>
      </c>
      <c r="AT8" s="25">
        <v>1000000</v>
      </c>
      <c r="AU8" s="28" t="s">
        <v>0</v>
      </c>
      <c r="AV8" s="28"/>
      <c r="AW8" s="28"/>
      <c r="AX8" s="28"/>
      <c r="AY8" s="27" t="s">
        <v>103</v>
      </c>
      <c r="AZ8" s="28">
        <v>1000000</v>
      </c>
      <c r="BA8" s="25"/>
      <c r="BB8" s="25"/>
      <c r="BC8" s="25"/>
    </row>
    <row r="9" spans="1:55" x14ac:dyDescent="0.3">
      <c r="A9" s="25" t="s">
        <v>865</v>
      </c>
      <c r="B9" s="32" t="s">
        <v>821</v>
      </c>
      <c r="C9" s="25"/>
      <c r="D9" s="32" t="s">
        <v>814</v>
      </c>
      <c r="E9" s="25" t="s">
        <v>61</v>
      </c>
      <c r="F9" s="25"/>
      <c r="G9" s="25" t="s">
        <v>909</v>
      </c>
      <c r="H9" s="25" t="s">
        <v>911</v>
      </c>
      <c r="I9" s="25" t="s">
        <v>913</v>
      </c>
      <c r="J9" s="25" t="s">
        <v>915</v>
      </c>
      <c r="K9" s="28"/>
      <c r="L9" s="28"/>
      <c r="M9" s="28"/>
      <c r="N9" s="28">
        <v>1</v>
      </c>
      <c r="O9" s="28"/>
      <c r="P9" s="28"/>
      <c r="Q9" s="28">
        <v>1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 t="s">
        <v>769</v>
      </c>
      <c r="AQ9" s="28">
        <v>24</v>
      </c>
      <c r="AR9" s="28" t="s">
        <v>769</v>
      </c>
      <c r="AS9" s="25">
        <v>1000000</v>
      </c>
      <c r="AT9" s="25">
        <v>1000000</v>
      </c>
      <c r="AU9" s="28" t="s">
        <v>0</v>
      </c>
      <c r="AV9" s="28"/>
      <c r="AW9" s="28"/>
      <c r="AX9" s="28"/>
      <c r="AY9" s="27" t="s">
        <v>103</v>
      </c>
      <c r="AZ9" s="28">
        <v>1000000</v>
      </c>
      <c r="BA9" s="25"/>
      <c r="BB9" s="25"/>
      <c r="BC9" s="25"/>
    </row>
    <row r="10" spans="1:55" x14ac:dyDescent="0.3">
      <c r="A10" s="25" t="s">
        <v>866</v>
      </c>
      <c r="B10" s="32" t="s">
        <v>822</v>
      </c>
      <c r="C10" s="25"/>
      <c r="D10" s="32" t="s">
        <v>814</v>
      </c>
      <c r="E10" s="25" t="s">
        <v>61</v>
      </c>
      <c r="F10" s="25"/>
      <c r="G10" s="25" t="s">
        <v>909</v>
      </c>
      <c r="H10" s="25" t="s">
        <v>911</v>
      </c>
      <c r="I10" s="25" t="s">
        <v>913</v>
      </c>
      <c r="J10" s="25" t="s">
        <v>915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>
        <v>1</v>
      </c>
      <c r="AC10" s="28"/>
      <c r="AD10" s="28">
        <v>1</v>
      </c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 t="s">
        <v>769</v>
      </c>
      <c r="AQ10" s="28">
        <v>24</v>
      </c>
      <c r="AR10" s="28" t="s">
        <v>769</v>
      </c>
      <c r="AS10" s="25">
        <v>1000000</v>
      </c>
      <c r="AT10" s="25">
        <v>1000000</v>
      </c>
      <c r="AU10" s="28" t="s">
        <v>0</v>
      </c>
      <c r="AV10" s="28"/>
      <c r="AW10" s="28"/>
      <c r="AX10" s="28"/>
      <c r="AY10" s="27" t="s">
        <v>103</v>
      </c>
      <c r="AZ10" s="28">
        <v>1000000</v>
      </c>
      <c r="BA10" s="25"/>
      <c r="BB10" s="25"/>
      <c r="BC10" s="25"/>
    </row>
    <row r="11" spans="1:55" x14ac:dyDescent="0.3">
      <c r="A11" s="25" t="s">
        <v>867</v>
      </c>
      <c r="B11" s="32" t="s">
        <v>823</v>
      </c>
      <c r="C11" s="25"/>
      <c r="D11" s="32" t="s">
        <v>814</v>
      </c>
      <c r="E11" s="25" t="s">
        <v>61</v>
      </c>
      <c r="F11" s="25"/>
      <c r="G11" s="25" t="s">
        <v>909</v>
      </c>
      <c r="H11" s="25" t="s">
        <v>911</v>
      </c>
      <c r="I11" s="25" t="s">
        <v>913</v>
      </c>
      <c r="J11" s="25" t="s">
        <v>915</v>
      </c>
      <c r="K11" s="28"/>
      <c r="L11" s="28"/>
      <c r="M11" s="28" t="s">
        <v>0</v>
      </c>
      <c r="N11" s="28"/>
      <c r="O11" s="28"/>
      <c r="P11" s="28"/>
      <c r="Q11" s="28">
        <v>1</v>
      </c>
      <c r="R11" s="28"/>
      <c r="S11" s="28"/>
      <c r="T11" s="28"/>
      <c r="U11" s="28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>
        <v>1</v>
      </c>
      <c r="AJ11" s="28"/>
      <c r="AK11" s="28"/>
      <c r="AL11" s="28"/>
      <c r="AM11" s="28"/>
      <c r="AN11" s="28"/>
      <c r="AO11" s="28"/>
      <c r="AP11" s="28" t="s">
        <v>771</v>
      </c>
      <c r="AQ11" s="28">
        <v>24</v>
      </c>
      <c r="AR11" s="28" t="s">
        <v>102</v>
      </c>
      <c r="AS11" s="25">
        <v>1000000</v>
      </c>
      <c r="AT11" s="25">
        <v>1000000</v>
      </c>
      <c r="AU11" s="28" t="s">
        <v>0</v>
      </c>
      <c r="AV11" s="28" t="s">
        <v>74</v>
      </c>
      <c r="AW11" s="28" t="s">
        <v>75</v>
      </c>
      <c r="AX11" s="28"/>
      <c r="AY11" s="27" t="s">
        <v>103</v>
      </c>
      <c r="AZ11" s="28">
        <v>1000000</v>
      </c>
      <c r="BA11" s="25"/>
      <c r="BB11" s="25"/>
      <c r="BC11" s="25"/>
    </row>
    <row r="12" spans="1:55" x14ac:dyDescent="0.3">
      <c r="A12" s="25" t="s">
        <v>868</v>
      </c>
      <c r="B12" s="32" t="s">
        <v>824</v>
      </c>
      <c r="C12" s="25"/>
      <c r="D12" s="32" t="s">
        <v>814</v>
      </c>
      <c r="E12" s="25" t="s">
        <v>907</v>
      </c>
      <c r="F12" s="25"/>
      <c r="G12" s="25" t="s">
        <v>909</v>
      </c>
      <c r="H12" s="25" t="s">
        <v>911</v>
      </c>
      <c r="I12" s="25" t="s">
        <v>913</v>
      </c>
      <c r="J12" s="25" t="s">
        <v>915</v>
      </c>
    </row>
    <row r="13" spans="1:55" x14ac:dyDescent="0.3">
      <c r="A13" s="25" t="s">
        <v>869</v>
      </c>
      <c r="B13" s="32" t="s">
        <v>825</v>
      </c>
      <c r="C13" s="25"/>
      <c r="D13" s="32" t="s">
        <v>814</v>
      </c>
      <c r="E13" s="25" t="s">
        <v>907</v>
      </c>
      <c r="F13" s="25"/>
      <c r="G13" s="25" t="s">
        <v>909</v>
      </c>
      <c r="H13" s="25" t="s">
        <v>911</v>
      </c>
      <c r="I13" s="25" t="s">
        <v>913</v>
      </c>
      <c r="J13" s="25" t="s">
        <v>915</v>
      </c>
    </row>
    <row r="14" spans="1:55" x14ac:dyDescent="0.3">
      <c r="A14" s="25" t="s">
        <v>870</v>
      </c>
      <c r="B14" s="32" t="s">
        <v>826</v>
      </c>
      <c r="C14" s="25"/>
      <c r="D14" s="32" t="s">
        <v>814</v>
      </c>
      <c r="E14" s="25" t="s">
        <v>907</v>
      </c>
      <c r="F14" s="25"/>
      <c r="G14" s="25" t="s">
        <v>909</v>
      </c>
      <c r="H14" s="25" t="s">
        <v>911</v>
      </c>
      <c r="I14" s="25" t="s">
        <v>913</v>
      </c>
      <c r="J14" s="25" t="s">
        <v>915</v>
      </c>
    </row>
    <row r="15" spans="1:55" x14ac:dyDescent="0.3">
      <c r="A15" s="25" t="s">
        <v>871</v>
      </c>
      <c r="B15" s="32" t="s">
        <v>827</v>
      </c>
      <c r="C15" s="25"/>
      <c r="D15" s="32" t="s">
        <v>814</v>
      </c>
      <c r="E15" s="25" t="s">
        <v>907</v>
      </c>
      <c r="F15" s="25"/>
      <c r="G15" s="25" t="s">
        <v>909</v>
      </c>
      <c r="H15" s="25" t="s">
        <v>911</v>
      </c>
      <c r="I15" s="25" t="s">
        <v>913</v>
      </c>
      <c r="J15" s="25" t="s">
        <v>915</v>
      </c>
    </row>
    <row r="16" spans="1:55" x14ac:dyDescent="0.3">
      <c r="A16" s="25" t="s">
        <v>872</v>
      </c>
      <c r="B16" s="32" t="s">
        <v>828</v>
      </c>
      <c r="C16" s="25"/>
      <c r="D16" s="32" t="s">
        <v>814</v>
      </c>
      <c r="E16" s="25" t="s">
        <v>907</v>
      </c>
      <c r="F16" s="25"/>
      <c r="G16" s="25" t="s">
        <v>909</v>
      </c>
      <c r="H16" s="25" t="s">
        <v>911</v>
      </c>
      <c r="I16" s="25" t="s">
        <v>913</v>
      </c>
      <c r="J16" s="25" t="s">
        <v>915</v>
      </c>
    </row>
    <row r="17" spans="1:10" x14ac:dyDescent="0.3">
      <c r="A17" s="25" t="s">
        <v>873</v>
      </c>
      <c r="B17" s="32" t="s">
        <v>829</v>
      </c>
      <c r="C17" s="25"/>
      <c r="D17" s="32" t="s">
        <v>814</v>
      </c>
      <c r="E17" s="25" t="s">
        <v>907</v>
      </c>
      <c r="F17" s="25"/>
      <c r="G17" s="25" t="s">
        <v>908</v>
      </c>
      <c r="H17" s="25" t="s">
        <v>910</v>
      </c>
      <c r="I17" s="25" t="s">
        <v>912</v>
      </c>
      <c r="J17" s="25" t="s">
        <v>914</v>
      </c>
    </row>
    <row r="18" spans="1:10" x14ac:dyDescent="0.3">
      <c r="A18" s="25" t="s">
        <v>874</v>
      </c>
      <c r="B18" s="32" t="s">
        <v>830</v>
      </c>
      <c r="C18" s="25"/>
      <c r="D18" s="32" t="s">
        <v>814</v>
      </c>
      <c r="E18" s="25" t="s">
        <v>907</v>
      </c>
      <c r="F18" s="25"/>
      <c r="G18" s="25" t="s">
        <v>908</v>
      </c>
      <c r="H18" s="25" t="s">
        <v>910</v>
      </c>
      <c r="I18" s="25" t="s">
        <v>912</v>
      </c>
      <c r="J18" s="25" t="s">
        <v>914</v>
      </c>
    </row>
    <row r="19" spans="1:10" x14ac:dyDescent="0.3">
      <c r="A19" s="25" t="s">
        <v>875</v>
      </c>
      <c r="B19" s="32" t="s">
        <v>831</v>
      </c>
      <c r="C19" s="25"/>
      <c r="D19" s="32" t="s">
        <v>814</v>
      </c>
      <c r="E19" s="25" t="s">
        <v>907</v>
      </c>
      <c r="F19" s="25"/>
      <c r="G19" s="25" t="s">
        <v>908</v>
      </c>
      <c r="H19" s="25" t="s">
        <v>910</v>
      </c>
      <c r="I19" s="25" t="s">
        <v>912</v>
      </c>
      <c r="J19" s="25" t="s">
        <v>914</v>
      </c>
    </row>
    <row r="20" spans="1:10" x14ac:dyDescent="0.3">
      <c r="A20" s="25" t="s">
        <v>876</v>
      </c>
      <c r="B20" s="32" t="s">
        <v>832</v>
      </c>
      <c r="C20" s="25"/>
      <c r="D20" s="32" t="s">
        <v>814</v>
      </c>
      <c r="E20" s="25" t="s">
        <v>907</v>
      </c>
      <c r="F20" s="25"/>
      <c r="G20" s="25" t="s">
        <v>908</v>
      </c>
      <c r="H20" s="25" t="s">
        <v>910</v>
      </c>
      <c r="I20" s="25" t="s">
        <v>912</v>
      </c>
      <c r="J20" s="25" t="s">
        <v>914</v>
      </c>
    </row>
    <row r="21" spans="1:10" x14ac:dyDescent="0.3">
      <c r="A21" s="25" t="s">
        <v>877</v>
      </c>
      <c r="B21" s="32" t="s">
        <v>833</v>
      </c>
      <c r="C21" s="25"/>
      <c r="D21" s="32" t="s">
        <v>814</v>
      </c>
      <c r="E21" s="25" t="s">
        <v>907</v>
      </c>
      <c r="F21" s="25"/>
      <c r="G21" s="25" t="s">
        <v>908</v>
      </c>
      <c r="H21" s="25" t="s">
        <v>910</v>
      </c>
      <c r="I21" s="25" t="s">
        <v>912</v>
      </c>
      <c r="J21" s="25" t="s">
        <v>914</v>
      </c>
    </row>
    <row r="22" spans="1:10" x14ac:dyDescent="0.3">
      <c r="A22" s="25" t="s">
        <v>878</v>
      </c>
      <c r="B22" s="32" t="s">
        <v>834</v>
      </c>
      <c r="C22" s="25"/>
      <c r="D22" s="32" t="s">
        <v>814</v>
      </c>
      <c r="E22" s="25" t="s">
        <v>907</v>
      </c>
      <c r="F22" s="25"/>
      <c r="G22" s="25" t="s">
        <v>908</v>
      </c>
      <c r="H22" s="25" t="s">
        <v>910</v>
      </c>
      <c r="I22" s="25" t="s">
        <v>912</v>
      </c>
      <c r="J22" s="25" t="s">
        <v>914</v>
      </c>
    </row>
    <row r="23" spans="1:10" x14ac:dyDescent="0.3">
      <c r="A23" s="25" t="s">
        <v>879</v>
      </c>
      <c r="B23" s="32" t="s">
        <v>835</v>
      </c>
      <c r="C23" s="25"/>
      <c r="D23" s="32" t="s">
        <v>814</v>
      </c>
      <c r="E23" s="25" t="s">
        <v>907</v>
      </c>
      <c r="F23" s="25"/>
      <c r="G23" s="25" t="s">
        <v>908</v>
      </c>
      <c r="H23" s="25" t="s">
        <v>910</v>
      </c>
      <c r="I23" s="25" t="s">
        <v>912</v>
      </c>
      <c r="J23" s="25" t="s">
        <v>914</v>
      </c>
    </row>
    <row r="24" spans="1:10" x14ac:dyDescent="0.3">
      <c r="A24" s="25" t="s">
        <v>880</v>
      </c>
      <c r="B24" s="32" t="s">
        <v>836</v>
      </c>
      <c r="C24" s="25"/>
      <c r="D24" s="32" t="s">
        <v>814</v>
      </c>
      <c r="E24" s="25" t="s">
        <v>907</v>
      </c>
      <c r="F24" s="25"/>
      <c r="G24" s="25" t="s">
        <v>908</v>
      </c>
      <c r="H24" s="25" t="s">
        <v>910</v>
      </c>
      <c r="I24" s="25" t="s">
        <v>912</v>
      </c>
      <c r="J24" s="25" t="s">
        <v>914</v>
      </c>
    </row>
    <row r="25" spans="1:10" x14ac:dyDescent="0.3">
      <c r="A25" s="25" t="s">
        <v>881</v>
      </c>
      <c r="B25" s="32" t="s">
        <v>837</v>
      </c>
      <c r="C25" s="25"/>
      <c r="D25" s="32" t="s">
        <v>814</v>
      </c>
      <c r="E25" s="25" t="s">
        <v>907</v>
      </c>
      <c r="F25" s="25"/>
      <c r="G25" s="25" t="s">
        <v>908</v>
      </c>
      <c r="H25" s="25" t="s">
        <v>910</v>
      </c>
      <c r="I25" s="25" t="s">
        <v>912</v>
      </c>
      <c r="J25" s="25" t="s">
        <v>914</v>
      </c>
    </row>
    <row r="26" spans="1:10" x14ac:dyDescent="0.3">
      <c r="A26" s="25" t="s">
        <v>882</v>
      </c>
      <c r="B26" s="32" t="s">
        <v>838</v>
      </c>
      <c r="C26" s="25"/>
      <c r="D26" s="32" t="s">
        <v>814</v>
      </c>
      <c r="E26" s="25" t="s">
        <v>907</v>
      </c>
      <c r="F26" s="25"/>
      <c r="G26" s="25" t="s">
        <v>908</v>
      </c>
      <c r="H26" s="25" t="s">
        <v>910</v>
      </c>
      <c r="I26" s="25" t="s">
        <v>912</v>
      </c>
      <c r="J26" s="25" t="s">
        <v>914</v>
      </c>
    </row>
    <row r="27" spans="1:10" x14ac:dyDescent="0.3">
      <c r="A27" s="25" t="s">
        <v>883</v>
      </c>
      <c r="B27" s="32" t="s">
        <v>839</v>
      </c>
      <c r="C27" s="25"/>
      <c r="D27" s="32" t="s">
        <v>814</v>
      </c>
      <c r="E27" s="25" t="s">
        <v>907</v>
      </c>
      <c r="F27" s="25"/>
      <c r="G27" s="25" t="s">
        <v>908</v>
      </c>
      <c r="H27" s="25" t="s">
        <v>910</v>
      </c>
      <c r="I27" s="25" t="s">
        <v>912</v>
      </c>
      <c r="J27" s="25" t="s">
        <v>914</v>
      </c>
    </row>
    <row r="28" spans="1:10" x14ac:dyDescent="0.3">
      <c r="A28" s="25" t="s">
        <v>884</v>
      </c>
      <c r="B28" s="32" t="s">
        <v>840</v>
      </c>
      <c r="C28" s="25"/>
      <c r="D28" s="32" t="s">
        <v>814</v>
      </c>
      <c r="E28" s="25" t="s">
        <v>907</v>
      </c>
      <c r="F28" s="25"/>
      <c r="G28" s="25" t="s">
        <v>908</v>
      </c>
      <c r="H28" s="25" t="s">
        <v>910</v>
      </c>
      <c r="I28" s="25" t="s">
        <v>912</v>
      </c>
      <c r="J28" s="25" t="s">
        <v>914</v>
      </c>
    </row>
    <row r="29" spans="1:10" x14ac:dyDescent="0.3">
      <c r="A29" s="25" t="s">
        <v>885</v>
      </c>
      <c r="B29" s="32" t="s">
        <v>841</v>
      </c>
      <c r="C29" s="25"/>
      <c r="D29" s="32" t="s">
        <v>814</v>
      </c>
      <c r="E29" s="25" t="s">
        <v>907</v>
      </c>
      <c r="F29" s="25"/>
      <c r="G29" s="25" t="s">
        <v>908</v>
      </c>
      <c r="H29" s="25" t="s">
        <v>910</v>
      </c>
      <c r="I29" s="25" t="s">
        <v>912</v>
      </c>
      <c r="J29" s="25" t="s">
        <v>914</v>
      </c>
    </row>
    <row r="30" spans="1:10" x14ac:dyDescent="0.3">
      <c r="A30" s="25" t="s">
        <v>886</v>
      </c>
      <c r="B30" s="32" t="s">
        <v>842</v>
      </c>
      <c r="C30" s="25"/>
      <c r="D30" s="32" t="s">
        <v>814</v>
      </c>
      <c r="E30" s="25" t="s">
        <v>907</v>
      </c>
      <c r="F30" s="25"/>
      <c r="G30" s="25" t="s">
        <v>908</v>
      </c>
      <c r="H30" s="25" t="s">
        <v>910</v>
      </c>
      <c r="I30" s="25" t="s">
        <v>912</v>
      </c>
      <c r="J30" s="25" t="s">
        <v>914</v>
      </c>
    </row>
    <row r="31" spans="1:10" x14ac:dyDescent="0.3">
      <c r="A31" s="25" t="s">
        <v>887</v>
      </c>
      <c r="B31" s="32" t="s">
        <v>843</v>
      </c>
      <c r="C31" s="25"/>
      <c r="D31" s="32" t="s">
        <v>814</v>
      </c>
      <c r="E31" s="25" t="s">
        <v>907</v>
      </c>
      <c r="F31" s="25"/>
      <c r="G31" s="25" t="s">
        <v>908</v>
      </c>
      <c r="H31" s="25" t="s">
        <v>910</v>
      </c>
      <c r="I31" s="25" t="s">
        <v>912</v>
      </c>
      <c r="J31" s="25" t="s">
        <v>914</v>
      </c>
    </row>
    <row r="32" spans="1:10" x14ac:dyDescent="0.3">
      <c r="A32" s="25" t="s">
        <v>888</v>
      </c>
      <c r="B32" s="32" t="s">
        <v>844</v>
      </c>
      <c r="C32" s="25"/>
      <c r="D32" s="32" t="s">
        <v>814</v>
      </c>
      <c r="E32" s="25" t="s">
        <v>907</v>
      </c>
      <c r="F32" s="25"/>
      <c r="G32" s="25" t="s">
        <v>908</v>
      </c>
      <c r="H32" s="25" t="s">
        <v>910</v>
      </c>
      <c r="I32" s="25" t="s">
        <v>912</v>
      </c>
      <c r="J32" s="25" t="s">
        <v>914</v>
      </c>
    </row>
    <row r="33" spans="1:10" x14ac:dyDescent="0.3">
      <c r="A33" s="25" t="s">
        <v>889</v>
      </c>
      <c r="B33" s="32" t="s">
        <v>845</v>
      </c>
      <c r="C33" s="25"/>
      <c r="D33" s="32" t="s">
        <v>814</v>
      </c>
      <c r="E33" s="25" t="s">
        <v>907</v>
      </c>
      <c r="F33" s="25"/>
      <c r="G33" s="25" t="s">
        <v>908</v>
      </c>
      <c r="H33" s="25" t="s">
        <v>910</v>
      </c>
      <c r="I33" s="25" t="s">
        <v>912</v>
      </c>
      <c r="J33" s="25" t="s">
        <v>914</v>
      </c>
    </row>
    <row r="34" spans="1:10" x14ac:dyDescent="0.3">
      <c r="A34" s="25" t="s">
        <v>890</v>
      </c>
      <c r="B34" s="32" t="s">
        <v>846</v>
      </c>
      <c r="C34" s="25"/>
      <c r="D34" s="32" t="s">
        <v>814</v>
      </c>
      <c r="E34" s="25" t="s">
        <v>907</v>
      </c>
      <c r="F34" s="25"/>
      <c r="G34" s="25" t="s">
        <v>908</v>
      </c>
      <c r="H34" s="25" t="s">
        <v>910</v>
      </c>
      <c r="I34" s="25" t="s">
        <v>912</v>
      </c>
      <c r="J34" s="25" t="s">
        <v>914</v>
      </c>
    </row>
    <row r="35" spans="1:10" x14ac:dyDescent="0.3">
      <c r="A35" s="25" t="s">
        <v>891</v>
      </c>
      <c r="B35" s="32" t="s">
        <v>847</v>
      </c>
      <c r="C35" s="25"/>
      <c r="D35" s="32" t="s">
        <v>814</v>
      </c>
      <c r="E35" s="25" t="s">
        <v>907</v>
      </c>
      <c r="F35" s="25"/>
      <c r="G35" s="25" t="s">
        <v>908</v>
      </c>
      <c r="H35" s="25" t="s">
        <v>910</v>
      </c>
      <c r="I35" s="25" t="s">
        <v>912</v>
      </c>
      <c r="J35" s="25" t="s">
        <v>914</v>
      </c>
    </row>
    <row r="36" spans="1:10" x14ac:dyDescent="0.3">
      <c r="A36" s="25" t="s">
        <v>892</v>
      </c>
      <c r="B36" s="32" t="s">
        <v>836</v>
      </c>
      <c r="C36" s="25"/>
      <c r="D36" s="32" t="s">
        <v>814</v>
      </c>
      <c r="E36" s="25" t="s">
        <v>907</v>
      </c>
      <c r="F36" s="25"/>
      <c r="G36" s="25" t="s">
        <v>908</v>
      </c>
      <c r="H36" s="25" t="s">
        <v>910</v>
      </c>
      <c r="I36" s="25" t="s">
        <v>912</v>
      </c>
      <c r="J36" s="25" t="s">
        <v>914</v>
      </c>
    </row>
    <row r="37" spans="1:10" x14ac:dyDescent="0.3">
      <c r="A37" s="25" t="s">
        <v>893</v>
      </c>
      <c r="B37" s="32" t="s">
        <v>848</v>
      </c>
      <c r="C37" s="25"/>
      <c r="D37" s="32" t="s">
        <v>814</v>
      </c>
      <c r="E37" s="25" t="s">
        <v>907</v>
      </c>
      <c r="F37" s="25"/>
      <c r="G37" s="25" t="s">
        <v>908</v>
      </c>
      <c r="H37" s="25" t="s">
        <v>910</v>
      </c>
      <c r="I37" s="25" t="s">
        <v>912</v>
      </c>
      <c r="J37" s="25" t="s">
        <v>914</v>
      </c>
    </row>
    <row r="38" spans="1:10" x14ac:dyDescent="0.3">
      <c r="A38" s="25" t="s">
        <v>894</v>
      </c>
      <c r="B38" s="32" t="s">
        <v>849</v>
      </c>
      <c r="C38" s="25"/>
      <c r="D38" s="32" t="s">
        <v>814</v>
      </c>
      <c r="E38" s="25" t="s">
        <v>907</v>
      </c>
      <c r="F38" s="25"/>
      <c r="G38" s="25" t="s">
        <v>908</v>
      </c>
      <c r="H38" s="25" t="s">
        <v>910</v>
      </c>
      <c r="I38" s="25" t="s">
        <v>912</v>
      </c>
      <c r="J38" s="25" t="s">
        <v>914</v>
      </c>
    </row>
    <row r="39" spans="1:10" x14ac:dyDescent="0.3">
      <c r="A39" s="25" t="s">
        <v>895</v>
      </c>
      <c r="B39" s="32" t="s">
        <v>850</v>
      </c>
      <c r="C39" s="25"/>
      <c r="D39" s="32" t="s">
        <v>814</v>
      </c>
      <c r="E39" s="25" t="s">
        <v>907</v>
      </c>
      <c r="F39" s="25"/>
      <c r="G39" s="25" t="s">
        <v>908</v>
      </c>
      <c r="H39" s="25" t="s">
        <v>910</v>
      </c>
      <c r="I39" s="25" t="s">
        <v>912</v>
      </c>
      <c r="J39" s="25" t="s">
        <v>914</v>
      </c>
    </row>
    <row r="40" spans="1:10" x14ac:dyDescent="0.3">
      <c r="A40" s="25" t="s">
        <v>896</v>
      </c>
      <c r="B40" s="32" t="s">
        <v>851</v>
      </c>
      <c r="C40" s="25"/>
      <c r="D40" s="32" t="s">
        <v>814</v>
      </c>
      <c r="E40" s="25" t="s">
        <v>907</v>
      </c>
      <c r="F40" s="25"/>
      <c r="G40" s="25" t="s">
        <v>908</v>
      </c>
      <c r="H40" s="25" t="s">
        <v>910</v>
      </c>
      <c r="I40" s="25" t="s">
        <v>912</v>
      </c>
      <c r="J40" s="25" t="s">
        <v>914</v>
      </c>
    </row>
    <row r="41" spans="1:10" x14ac:dyDescent="0.3">
      <c r="A41" s="25" t="s">
        <v>897</v>
      </c>
      <c r="B41" s="32" t="s">
        <v>852</v>
      </c>
      <c r="C41" s="25"/>
      <c r="D41" s="32" t="s">
        <v>814</v>
      </c>
      <c r="E41" s="25" t="s">
        <v>907</v>
      </c>
      <c r="F41" s="25"/>
      <c r="G41" s="25" t="s">
        <v>908</v>
      </c>
      <c r="H41" s="25" t="s">
        <v>910</v>
      </c>
      <c r="I41" s="25" t="s">
        <v>912</v>
      </c>
      <c r="J41" s="25" t="s">
        <v>914</v>
      </c>
    </row>
    <row r="42" spans="1:10" x14ac:dyDescent="0.3">
      <c r="A42" s="25" t="s">
        <v>898</v>
      </c>
      <c r="B42" s="32" t="s">
        <v>853</v>
      </c>
      <c r="C42" s="25"/>
      <c r="D42" s="32" t="s">
        <v>814</v>
      </c>
      <c r="E42" s="25" t="s">
        <v>907</v>
      </c>
      <c r="F42" s="25"/>
      <c r="G42" s="25" t="s">
        <v>908</v>
      </c>
      <c r="H42" s="25" t="s">
        <v>910</v>
      </c>
      <c r="I42" s="25" t="s">
        <v>912</v>
      </c>
      <c r="J42" s="25" t="s">
        <v>914</v>
      </c>
    </row>
    <row r="43" spans="1:10" x14ac:dyDescent="0.3">
      <c r="A43" s="25" t="s">
        <v>899</v>
      </c>
      <c r="B43" s="32" t="s">
        <v>854</v>
      </c>
      <c r="C43" s="25"/>
      <c r="D43" s="32" t="s">
        <v>814</v>
      </c>
      <c r="E43" s="25" t="s">
        <v>907</v>
      </c>
      <c r="F43" s="25"/>
      <c r="G43" s="25" t="s">
        <v>908</v>
      </c>
      <c r="H43" s="25" t="s">
        <v>910</v>
      </c>
      <c r="I43" s="25" t="s">
        <v>912</v>
      </c>
      <c r="J43" s="25" t="s">
        <v>914</v>
      </c>
    </row>
    <row r="44" spans="1:10" x14ac:dyDescent="0.3">
      <c r="A44" s="25" t="s">
        <v>900</v>
      </c>
      <c r="B44" s="32" t="s">
        <v>855</v>
      </c>
      <c r="C44" s="25"/>
      <c r="D44" s="32" t="s">
        <v>814</v>
      </c>
      <c r="E44" s="25" t="s">
        <v>907</v>
      </c>
      <c r="F44" s="25"/>
      <c r="G44" s="25" t="s">
        <v>908</v>
      </c>
      <c r="H44" s="25" t="s">
        <v>910</v>
      </c>
      <c r="I44" s="25" t="s">
        <v>912</v>
      </c>
      <c r="J44" s="25" t="s">
        <v>914</v>
      </c>
    </row>
    <row r="45" spans="1:10" x14ac:dyDescent="0.3">
      <c r="A45" s="25" t="s">
        <v>901</v>
      </c>
      <c r="B45" s="32" t="s">
        <v>856</v>
      </c>
      <c r="C45" s="25"/>
      <c r="D45" s="32" t="s">
        <v>814</v>
      </c>
      <c r="E45" s="25" t="s">
        <v>907</v>
      </c>
      <c r="F45" s="25"/>
      <c r="G45" s="25" t="s">
        <v>908</v>
      </c>
      <c r="H45" s="25" t="s">
        <v>910</v>
      </c>
      <c r="I45" s="25" t="s">
        <v>912</v>
      </c>
      <c r="J45" s="25" t="s">
        <v>914</v>
      </c>
    </row>
    <row r="46" spans="1:10" x14ac:dyDescent="0.3">
      <c r="A46" s="25" t="s">
        <v>902</v>
      </c>
      <c r="B46" s="32" t="s">
        <v>857</v>
      </c>
      <c r="C46" s="25"/>
      <c r="D46" s="32" t="s">
        <v>814</v>
      </c>
      <c r="E46" s="25" t="s">
        <v>907</v>
      </c>
      <c r="F46" s="25"/>
      <c r="G46" s="25" t="s">
        <v>908</v>
      </c>
      <c r="H46" s="25" t="s">
        <v>910</v>
      </c>
      <c r="I46" s="25" t="s">
        <v>912</v>
      </c>
      <c r="J46" s="25" t="s">
        <v>914</v>
      </c>
    </row>
    <row r="47" spans="1:10" x14ac:dyDescent="0.3">
      <c r="A47" s="25" t="s">
        <v>903</v>
      </c>
      <c r="B47" s="32" t="s">
        <v>858</v>
      </c>
      <c r="C47" s="25"/>
      <c r="D47" s="32" t="s">
        <v>814</v>
      </c>
      <c r="E47" s="25" t="s">
        <v>907</v>
      </c>
      <c r="F47" s="25"/>
      <c r="G47" s="25" t="s">
        <v>908</v>
      </c>
      <c r="H47" s="25" t="s">
        <v>910</v>
      </c>
      <c r="I47" s="25" t="s">
        <v>912</v>
      </c>
      <c r="J47" s="25" t="s">
        <v>914</v>
      </c>
    </row>
    <row r="48" spans="1:10" x14ac:dyDescent="0.3">
      <c r="A48" s="25" t="s">
        <v>904</v>
      </c>
      <c r="B48" s="32" t="s">
        <v>859</v>
      </c>
      <c r="C48" s="25"/>
      <c r="D48" s="32" t="s">
        <v>814</v>
      </c>
      <c r="E48" s="25" t="s">
        <v>907</v>
      </c>
      <c r="F48" s="25"/>
      <c r="G48" s="25" t="s">
        <v>908</v>
      </c>
      <c r="H48" s="25" t="s">
        <v>910</v>
      </c>
      <c r="I48" s="25" t="s">
        <v>912</v>
      </c>
      <c r="J48" s="25" t="s">
        <v>914</v>
      </c>
    </row>
    <row r="49" spans="1:10" x14ac:dyDescent="0.3">
      <c r="A49" s="25" t="s">
        <v>905</v>
      </c>
      <c r="B49" s="32" t="s">
        <v>860</v>
      </c>
      <c r="C49" s="25"/>
      <c r="D49" s="32" t="s">
        <v>814</v>
      </c>
      <c r="E49" s="25" t="s">
        <v>907</v>
      </c>
      <c r="F49" s="25"/>
      <c r="G49" s="25" t="s">
        <v>908</v>
      </c>
      <c r="H49" s="25" t="s">
        <v>910</v>
      </c>
      <c r="I49" s="25" t="s">
        <v>912</v>
      </c>
      <c r="J49" s="25" t="s">
        <v>914</v>
      </c>
    </row>
  </sheetData>
  <phoneticPr fontId="2" type="noConversion"/>
  <dataValidations count="15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U1" xr:uid="{00000000-0002-0000-0200-000000000000}"/>
    <dataValidation allowBlank="1" showInputMessage="1" showErrorMessage="1" prompt="-&quot;근로기준법&quot; 제2조에 따른 임금으로서, 해당 월에 발생된 금액 기재" sqref="AT1" xr:uid="{00000000-0002-0000-0200-000001000000}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S1" xr:uid="{00000000-0002-0000-0200-000002000000}"/>
    <dataValidation allowBlank="1" showInputMessage="1" showErrorMessage="1" prompt="-한달간 근로한 일 수" sqref="AP1" xr:uid="{00000000-0002-0000-0200-000003000000}"/>
    <dataValidation allowBlank="1" showInputMessage="1" showErrorMessage="1" prompt="-근로한 날짜에 &quot;1&quot; 기재" sqref="K1:AO1" xr:uid="{00000000-0002-0000-0200-000004000000}"/>
    <dataValidation allowBlank="1" showInputMessage="1" showErrorMessage="1" prompt="*한국고용직업분류 중 소분류(119개) 직종현황 참고하여 기재" sqref="J1" xr:uid="{00000000-0002-0000-0200-000005000000}"/>
    <dataValidation allowBlank="1" showInputMessage="1" showErrorMessage="1" prompt="*체류자격코드 시트 참조" sqref="F1" xr:uid="{00000000-0002-0000-0200-000006000000}"/>
    <dataValidation allowBlank="1" showInputMessage="1" showErrorMessage="1" prompt="-근로자의 국적코드 (국적코드시트 참조)" sqref="E1" xr:uid="{00000000-0002-0000-0200-000007000000}"/>
    <dataValidation allowBlank="1" showInputMessage="1" showErrorMessage="1" prompt="근로신고 확인신고서에 신고할 해당 년월을 기재 (등록된 근로자는 모두 동일한 년월을 기재함)_x000a_-YYYYMM 형식으로 기재 (예: 2010년2월의 경우 &quot;201002&quot;로 기재)" sqref="D1" xr:uid="{00000000-0002-0000-0200-000008000000}"/>
    <dataValidation allowBlank="1" showInputMessage="1" showErrorMessage="1" prompt="-1234561234567 형식" sqref="C1" xr:uid="{00000000-0002-0000-0200-000009000000}"/>
    <dataValidation allowBlank="1" showInputMessage="1" showErrorMessage="1" prompt="-지역번호 (휴대폰의 경우 01x)" sqref="G1" xr:uid="{00000000-0002-0000-0200-00000A000000}"/>
    <dataValidation allowBlank="1" showInputMessage="1" showErrorMessage="1" prompt="-국번" sqref="H1" xr:uid="{00000000-0002-0000-0200-00000B000000}"/>
    <dataValidation allowBlank="1" showInputMessage="1" showErrorMessage="1" prompt="-전화번호 뒷자리" sqref="I1" xr:uid="{00000000-0002-0000-0200-00000C000000}"/>
    <dataValidation allowBlank="1" showInputMessage="1" showErrorMessage="1" prompt="*보험료부과구분부호 (해당자만 기재)_x000a_ 보험료부과구분 코드 시트 참조_x000a_" sqref="AV1:AW1" xr:uid="{00000000-0002-0000-0200-00000D000000}"/>
    <dataValidation allowBlank="1" showInputMessage="1" showErrorMessage="1" prompt="- 일평균근무시간" sqref="AR1" xr:uid="{00000000-0002-0000-0200-00000E000000}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H4"/>
  <sheetViews>
    <sheetView workbookViewId="0">
      <selection activeCell="B22" sqref="B22"/>
    </sheetView>
  </sheetViews>
  <sheetFormatPr defaultRowHeight="13.5" x14ac:dyDescent="0.25"/>
  <cols>
    <col min="1" max="1" width="29.625" style="31" customWidth="1"/>
    <col min="2" max="2" width="75.625" style="31" customWidth="1"/>
    <col min="3" max="16384" width="9" style="30"/>
  </cols>
  <sheetData>
    <row r="1" spans="1:8" ht="30" customHeight="1" x14ac:dyDescent="0.3">
      <c r="A1" s="70" t="s">
        <v>80</v>
      </c>
      <c r="B1" s="70"/>
      <c r="C1" s="29"/>
      <c r="D1" s="29"/>
      <c r="E1" s="29"/>
      <c r="F1" s="29"/>
      <c r="G1" s="29"/>
      <c r="H1" s="29"/>
    </row>
    <row r="2" spans="1:8" ht="20.100000000000001" customHeight="1" x14ac:dyDescent="0.2">
      <c r="A2" s="49" t="s">
        <v>77</v>
      </c>
      <c r="B2" s="61" t="s">
        <v>811</v>
      </c>
      <c r="C2" s="59"/>
      <c r="D2" s="59"/>
      <c r="E2" s="59"/>
    </row>
    <row r="3" spans="1:8" ht="20.100000000000001" customHeight="1" x14ac:dyDescent="0.2">
      <c r="A3" s="49" t="s">
        <v>78</v>
      </c>
      <c r="B3" s="61" t="s">
        <v>812</v>
      </c>
      <c r="C3" s="60"/>
      <c r="D3" s="60"/>
      <c r="E3" s="60"/>
    </row>
    <row r="4" spans="1:8" ht="20.100000000000001" customHeight="1" x14ac:dyDescent="0.3">
      <c r="A4" s="49" t="s">
        <v>81</v>
      </c>
      <c r="B4" s="62" t="s">
        <v>906</v>
      </c>
      <c r="C4" s="58"/>
      <c r="D4" s="58"/>
      <c r="E4" s="58"/>
    </row>
  </sheetData>
  <mergeCells count="1">
    <mergeCell ref="A1:B1"/>
  </mergeCells>
  <phoneticPr fontId="2" type="noConversion"/>
  <hyperlinks>
    <hyperlink ref="B4" r:id="rId1" xr:uid="{00000000-0004-0000-0300-000000000000}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232"/>
  <sheetViews>
    <sheetView workbookViewId="0">
      <selection activeCell="B37" sqref="B37"/>
    </sheetView>
  </sheetViews>
  <sheetFormatPr defaultRowHeight="16.5" x14ac:dyDescent="0.3"/>
  <cols>
    <col min="1" max="1" width="17.75" style="9" customWidth="1"/>
    <col min="2" max="2" width="20" style="9" bestFit="1" customWidth="1"/>
    <col min="3" max="3" width="45.625" style="9" bestFit="1" customWidth="1"/>
  </cols>
  <sheetData>
    <row r="1" spans="1:3" x14ac:dyDescent="0.3">
      <c r="A1" s="71" t="s">
        <v>786</v>
      </c>
      <c r="B1" s="71"/>
      <c r="C1" s="71"/>
    </row>
    <row r="2" spans="1:3" x14ac:dyDescent="0.3">
      <c r="A2" s="72"/>
      <c r="B2" s="72"/>
      <c r="C2" s="72"/>
    </row>
    <row r="3" spans="1:3" x14ac:dyDescent="0.3">
      <c r="A3" s="50" t="s">
        <v>104</v>
      </c>
      <c r="B3" s="50" t="s">
        <v>105</v>
      </c>
      <c r="C3" s="50" t="s">
        <v>106</v>
      </c>
    </row>
    <row r="4" spans="1:3" x14ac:dyDescent="0.3">
      <c r="A4" s="40" t="s">
        <v>107</v>
      </c>
      <c r="B4" s="32" t="s">
        <v>108</v>
      </c>
      <c r="C4" s="33" t="s">
        <v>109</v>
      </c>
    </row>
    <row r="5" spans="1:3" x14ac:dyDescent="0.3">
      <c r="A5" s="40" t="s">
        <v>110</v>
      </c>
      <c r="B5" s="32" t="s">
        <v>111</v>
      </c>
      <c r="C5" s="33" t="s">
        <v>112</v>
      </c>
    </row>
    <row r="6" spans="1:3" x14ac:dyDescent="0.3">
      <c r="A6" s="40" t="s">
        <v>113</v>
      </c>
      <c r="B6" s="32" t="s">
        <v>114</v>
      </c>
      <c r="C6" s="33" t="s">
        <v>115</v>
      </c>
    </row>
    <row r="7" spans="1:3" x14ac:dyDescent="0.3">
      <c r="A7" s="40" t="s">
        <v>116</v>
      </c>
      <c r="B7" s="32" t="s">
        <v>117</v>
      </c>
      <c r="C7" s="33" t="s">
        <v>118</v>
      </c>
    </row>
    <row r="8" spans="1:3" x14ac:dyDescent="0.3">
      <c r="A8" s="40" t="s">
        <v>119</v>
      </c>
      <c r="B8" s="32" t="s">
        <v>120</v>
      </c>
      <c r="C8" s="33" t="s">
        <v>121</v>
      </c>
    </row>
    <row r="9" spans="1:3" x14ac:dyDescent="0.3">
      <c r="A9" s="40" t="s">
        <v>122</v>
      </c>
      <c r="B9" s="32" t="s">
        <v>123</v>
      </c>
      <c r="C9" s="33" t="s">
        <v>124</v>
      </c>
    </row>
    <row r="10" spans="1:3" x14ac:dyDescent="0.3">
      <c r="A10" s="40" t="s">
        <v>125</v>
      </c>
      <c r="B10" s="32" t="s">
        <v>126</v>
      </c>
      <c r="C10" s="33" t="s">
        <v>127</v>
      </c>
    </row>
    <row r="11" spans="1:3" x14ac:dyDescent="0.3">
      <c r="A11" s="40" t="s">
        <v>128</v>
      </c>
      <c r="B11" s="32" t="s">
        <v>129</v>
      </c>
      <c r="C11" s="33" t="s">
        <v>130</v>
      </c>
    </row>
    <row r="12" spans="1:3" x14ac:dyDescent="0.3">
      <c r="A12" s="40" t="s">
        <v>131</v>
      </c>
      <c r="B12" s="32" t="s">
        <v>132</v>
      </c>
      <c r="C12" s="33" t="s">
        <v>133</v>
      </c>
    </row>
    <row r="13" spans="1:3" x14ac:dyDescent="0.3">
      <c r="A13" s="40" t="s">
        <v>134</v>
      </c>
      <c r="B13" s="32" t="s">
        <v>135</v>
      </c>
      <c r="C13" s="33" t="s">
        <v>136</v>
      </c>
    </row>
    <row r="14" spans="1:3" x14ac:dyDescent="0.3">
      <c r="A14" s="40" t="s">
        <v>137</v>
      </c>
      <c r="B14" s="32" t="s">
        <v>138</v>
      </c>
      <c r="C14" s="33" t="s">
        <v>139</v>
      </c>
    </row>
    <row r="15" spans="1:3" x14ac:dyDescent="0.3">
      <c r="A15" s="40" t="s">
        <v>140</v>
      </c>
      <c r="B15" s="32" t="s">
        <v>141</v>
      </c>
      <c r="C15" s="33" t="s">
        <v>142</v>
      </c>
    </row>
    <row r="16" spans="1:3" x14ac:dyDescent="0.3">
      <c r="A16" s="40" t="s">
        <v>143</v>
      </c>
      <c r="B16" s="32" t="s">
        <v>144</v>
      </c>
      <c r="C16" s="33" t="s">
        <v>145</v>
      </c>
    </row>
    <row r="17" spans="1:3" x14ac:dyDescent="0.3">
      <c r="A17" s="40" t="s">
        <v>146</v>
      </c>
      <c r="B17" s="32" t="s">
        <v>147</v>
      </c>
      <c r="C17" s="33" t="s">
        <v>148</v>
      </c>
    </row>
    <row r="18" spans="1:3" x14ac:dyDescent="0.3">
      <c r="A18" s="40" t="s">
        <v>149</v>
      </c>
      <c r="B18" s="32" t="s">
        <v>150</v>
      </c>
      <c r="C18" s="33" t="s">
        <v>151</v>
      </c>
    </row>
    <row r="19" spans="1:3" x14ac:dyDescent="0.3">
      <c r="A19" s="40" t="s">
        <v>152</v>
      </c>
      <c r="B19" s="32" t="s">
        <v>153</v>
      </c>
      <c r="C19" s="33" t="s">
        <v>154</v>
      </c>
    </row>
    <row r="20" spans="1:3" x14ac:dyDescent="0.3">
      <c r="A20" s="40" t="s">
        <v>155</v>
      </c>
      <c r="B20" s="32" t="s">
        <v>156</v>
      </c>
      <c r="C20" s="33" t="s">
        <v>157</v>
      </c>
    </row>
    <row r="21" spans="1:3" x14ac:dyDescent="0.3">
      <c r="A21" s="40" t="s">
        <v>158</v>
      </c>
      <c r="B21" s="32" t="s">
        <v>159</v>
      </c>
      <c r="C21" s="33" t="s">
        <v>160</v>
      </c>
    </row>
    <row r="22" spans="1:3" x14ac:dyDescent="0.3">
      <c r="A22" s="40" t="s">
        <v>161</v>
      </c>
      <c r="B22" s="32" t="s">
        <v>162</v>
      </c>
      <c r="C22" s="33" t="s">
        <v>163</v>
      </c>
    </row>
    <row r="23" spans="1:3" x14ac:dyDescent="0.3">
      <c r="A23" s="40" t="s">
        <v>164</v>
      </c>
      <c r="B23" s="32" t="s">
        <v>138</v>
      </c>
      <c r="C23" s="33" t="s">
        <v>142</v>
      </c>
    </row>
    <row r="24" spans="1:3" x14ac:dyDescent="0.3">
      <c r="A24" s="40" t="s">
        <v>165</v>
      </c>
      <c r="B24" s="32" t="s">
        <v>166</v>
      </c>
      <c r="C24" s="33" t="s">
        <v>167</v>
      </c>
    </row>
    <row r="25" spans="1:3" x14ac:dyDescent="0.3">
      <c r="A25" s="40" t="s">
        <v>168</v>
      </c>
      <c r="B25" s="32" t="s">
        <v>169</v>
      </c>
      <c r="C25" s="33" t="s">
        <v>170</v>
      </c>
    </row>
    <row r="26" spans="1:3" x14ac:dyDescent="0.3">
      <c r="A26" s="40" t="s">
        <v>171</v>
      </c>
      <c r="B26" s="32" t="s">
        <v>172</v>
      </c>
      <c r="C26" s="33" t="s">
        <v>173</v>
      </c>
    </row>
    <row r="27" spans="1:3" x14ac:dyDescent="0.3">
      <c r="A27" s="40" t="s">
        <v>174</v>
      </c>
      <c r="B27" s="32" t="s">
        <v>156</v>
      </c>
      <c r="C27" s="33" t="s">
        <v>157</v>
      </c>
    </row>
    <row r="28" spans="1:3" x14ac:dyDescent="0.3">
      <c r="A28" s="40" t="s">
        <v>175</v>
      </c>
      <c r="B28" s="32" t="s">
        <v>176</v>
      </c>
      <c r="C28" s="33" t="s">
        <v>177</v>
      </c>
    </row>
    <row r="29" spans="1:3" x14ac:dyDescent="0.3">
      <c r="A29" s="40" t="s">
        <v>178</v>
      </c>
      <c r="B29" s="32" t="s">
        <v>179</v>
      </c>
      <c r="C29" s="33" t="s">
        <v>180</v>
      </c>
    </row>
    <row r="30" spans="1:3" x14ac:dyDescent="0.3">
      <c r="A30" s="40" t="s">
        <v>181</v>
      </c>
      <c r="B30" s="32" t="s">
        <v>182</v>
      </c>
      <c r="C30" s="33" t="s">
        <v>183</v>
      </c>
    </row>
    <row r="31" spans="1:3" x14ac:dyDescent="0.3">
      <c r="A31" s="40" t="s">
        <v>184</v>
      </c>
      <c r="B31" s="32" t="s">
        <v>185</v>
      </c>
      <c r="C31" s="33" t="s">
        <v>186</v>
      </c>
    </row>
    <row r="32" spans="1:3" x14ac:dyDescent="0.3">
      <c r="A32" s="40" t="s">
        <v>187</v>
      </c>
      <c r="B32" s="32" t="s">
        <v>188</v>
      </c>
      <c r="C32" s="33" t="s">
        <v>189</v>
      </c>
    </row>
    <row r="33" spans="1:3" x14ac:dyDescent="0.3">
      <c r="A33" s="40" t="s">
        <v>190</v>
      </c>
      <c r="B33" s="32" t="s">
        <v>191</v>
      </c>
      <c r="C33" s="33" t="s">
        <v>192</v>
      </c>
    </row>
    <row r="34" spans="1:3" x14ac:dyDescent="0.3">
      <c r="A34" s="40" t="s">
        <v>193</v>
      </c>
      <c r="B34" s="32" t="s">
        <v>194</v>
      </c>
      <c r="C34" s="33" t="s">
        <v>195</v>
      </c>
    </row>
    <row r="35" spans="1:3" x14ac:dyDescent="0.3">
      <c r="A35" s="40" t="s">
        <v>196</v>
      </c>
      <c r="B35" s="32" t="s">
        <v>197</v>
      </c>
      <c r="C35" s="33" t="s">
        <v>198</v>
      </c>
    </row>
    <row r="36" spans="1:3" x14ac:dyDescent="0.3">
      <c r="A36" s="40" t="s">
        <v>199</v>
      </c>
      <c r="B36" s="32" t="s">
        <v>200</v>
      </c>
      <c r="C36" s="33" t="s">
        <v>201</v>
      </c>
    </row>
    <row r="37" spans="1:3" x14ac:dyDescent="0.3">
      <c r="A37" s="40" t="s">
        <v>202</v>
      </c>
      <c r="B37" s="32" t="s">
        <v>203</v>
      </c>
      <c r="C37" s="33" t="s">
        <v>204</v>
      </c>
    </row>
    <row r="38" spans="1:3" x14ac:dyDescent="0.3">
      <c r="A38" s="40" t="s">
        <v>205</v>
      </c>
      <c r="B38" s="32" t="s">
        <v>206</v>
      </c>
      <c r="C38" s="33" t="s">
        <v>207</v>
      </c>
    </row>
    <row r="39" spans="1:3" x14ac:dyDescent="0.3">
      <c r="A39" s="40" t="s">
        <v>208</v>
      </c>
      <c r="B39" s="32" t="s">
        <v>209</v>
      </c>
      <c r="C39" s="33" t="s">
        <v>210</v>
      </c>
    </row>
    <row r="40" spans="1:3" x14ac:dyDescent="0.3">
      <c r="A40" s="40" t="s">
        <v>211</v>
      </c>
      <c r="B40" s="32" t="s">
        <v>209</v>
      </c>
      <c r="C40" s="33" t="s">
        <v>212</v>
      </c>
    </row>
    <row r="41" spans="1:3" x14ac:dyDescent="0.3">
      <c r="A41" s="40" t="s">
        <v>213</v>
      </c>
      <c r="B41" s="32" t="s">
        <v>214</v>
      </c>
      <c r="C41" s="33" t="s">
        <v>215</v>
      </c>
    </row>
    <row r="42" spans="1:3" x14ac:dyDescent="0.3">
      <c r="A42" s="40" t="s">
        <v>216</v>
      </c>
      <c r="B42" s="32" t="s">
        <v>217</v>
      </c>
      <c r="C42" s="33" t="s">
        <v>218</v>
      </c>
    </row>
    <row r="43" spans="1:3" x14ac:dyDescent="0.3">
      <c r="A43" s="40" t="s">
        <v>219</v>
      </c>
      <c r="B43" s="32" t="s">
        <v>220</v>
      </c>
      <c r="C43" s="33" t="s">
        <v>221</v>
      </c>
    </row>
    <row r="44" spans="1:3" x14ac:dyDescent="0.3">
      <c r="A44" s="40" t="s">
        <v>222</v>
      </c>
      <c r="B44" s="32" t="s">
        <v>223</v>
      </c>
      <c r="C44" s="33" t="s">
        <v>224</v>
      </c>
    </row>
    <row r="45" spans="1:3" x14ac:dyDescent="0.3">
      <c r="A45" s="40" t="s">
        <v>225</v>
      </c>
      <c r="B45" s="32" t="s">
        <v>226</v>
      </c>
      <c r="C45" s="33" t="s">
        <v>227</v>
      </c>
    </row>
    <row r="46" spans="1:3" x14ac:dyDescent="0.3">
      <c r="A46" s="40" t="s">
        <v>228</v>
      </c>
      <c r="B46" s="32" t="s">
        <v>229</v>
      </c>
      <c r="C46" s="33" t="s">
        <v>230</v>
      </c>
    </row>
    <row r="47" spans="1:3" x14ac:dyDescent="0.3">
      <c r="A47" s="40" t="s">
        <v>231</v>
      </c>
      <c r="B47" s="32" t="s">
        <v>232</v>
      </c>
      <c r="C47" s="33" t="s">
        <v>233</v>
      </c>
    </row>
    <row r="48" spans="1:3" x14ac:dyDescent="0.3">
      <c r="A48" s="40" t="s">
        <v>234</v>
      </c>
      <c r="B48" s="32" t="s">
        <v>235</v>
      </c>
      <c r="C48" s="33" t="s">
        <v>236</v>
      </c>
    </row>
    <row r="49" spans="1:3" x14ac:dyDescent="0.3">
      <c r="A49" s="40" t="s">
        <v>237</v>
      </c>
      <c r="B49" s="32" t="s">
        <v>238</v>
      </c>
      <c r="C49" s="33" t="s">
        <v>239</v>
      </c>
    </row>
    <row r="50" spans="1:3" x14ac:dyDescent="0.3">
      <c r="A50" s="40" t="s">
        <v>240</v>
      </c>
      <c r="B50" s="32" t="s">
        <v>241</v>
      </c>
      <c r="C50" s="33" t="s">
        <v>242</v>
      </c>
    </row>
    <row r="51" spans="1:3" x14ac:dyDescent="0.3">
      <c r="A51" s="40" t="s">
        <v>243</v>
      </c>
      <c r="B51" s="32" t="s">
        <v>244</v>
      </c>
      <c r="C51" s="33" t="s">
        <v>245</v>
      </c>
    </row>
    <row r="52" spans="1:3" x14ac:dyDescent="0.3">
      <c r="A52" s="40" t="s">
        <v>246</v>
      </c>
      <c r="B52" s="32" t="s">
        <v>247</v>
      </c>
      <c r="C52" s="33" t="s">
        <v>248</v>
      </c>
    </row>
    <row r="53" spans="1:3" x14ac:dyDescent="0.3">
      <c r="A53" s="40" t="s">
        <v>249</v>
      </c>
      <c r="B53" s="32" t="s">
        <v>250</v>
      </c>
      <c r="C53" s="33" t="s">
        <v>251</v>
      </c>
    </row>
    <row r="54" spans="1:3" x14ac:dyDescent="0.3">
      <c r="A54" s="40" t="s">
        <v>252</v>
      </c>
      <c r="B54" s="32" t="s">
        <v>253</v>
      </c>
      <c r="C54" s="33" t="s">
        <v>254</v>
      </c>
    </row>
    <row r="55" spans="1:3" x14ac:dyDescent="0.3">
      <c r="A55" s="40" t="s">
        <v>255</v>
      </c>
      <c r="B55" s="32" t="s">
        <v>256</v>
      </c>
      <c r="C55" s="33" t="s">
        <v>257</v>
      </c>
    </row>
    <row r="56" spans="1:3" x14ac:dyDescent="0.3">
      <c r="A56" s="40" t="s">
        <v>258</v>
      </c>
      <c r="B56" s="32" t="s">
        <v>259</v>
      </c>
      <c r="C56" s="33" t="s">
        <v>260</v>
      </c>
    </row>
    <row r="57" spans="1:3" x14ac:dyDescent="0.3">
      <c r="A57" s="40" t="s">
        <v>261</v>
      </c>
      <c r="B57" s="32" t="s">
        <v>262</v>
      </c>
      <c r="C57" s="33" t="s">
        <v>263</v>
      </c>
    </row>
    <row r="58" spans="1:3" x14ac:dyDescent="0.3">
      <c r="A58" s="40" t="s">
        <v>264</v>
      </c>
      <c r="B58" s="32" t="s">
        <v>265</v>
      </c>
      <c r="C58" s="33" t="s">
        <v>266</v>
      </c>
    </row>
    <row r="59" spans="1:3" x14ac:dyDescent="0.3">
      <c r="A59" s="40" t="s">
        <v>267</v>
      </c>
      <c r="B59" s="32" t="s">
        <v>268</v>
      </c>
      <c r="C59" s="33" t="s">
        <v>269</v>
      </c>
    </row>
    <row r="60" spans="1:3" x14ac:dyDescent="0.3">
      <c r="A60" s="40" t="s">
        <v>270</v>
      </c>
      <c r="B60" s="32" t="s">
        <v>271</v>
      </c>
      <c r="C60" s="33" t="s">
        <v>272</v>
      </c>
    </row>
    <row r="61" spans="1:3" x14ac:dyDescent="0.3">
      <c r="A61" s="40" t="s">
        <v>273</v>
      </c>
      <c r="B61" s="32" t="s">
        <v>274</v>
      </c>
      <c r="C61" s="33" t="s">
        <v>275</v>
      </c>
    </row>
    <row r="62" spans="1:3" x14ac:dyDescent="0.3">
      <c r="A62" s="40" t="s">
        <v>276</v>
      </c>
      <c r="B62" s="32" t="s">
        <v>277</v>
      </c>
      <c r="C62" s="33" t="s">
        <v>278</v>
      </c>
    </row>
    <row r="63" spans="1:3" x14ac:dyDescent="0.3">
      <c r="A63" s="40" t="s">
        <v>279</v>
      </c>
      <c r="B63" s="32" t="s">
        <v>280</v>
      </c>
      <c r="C63" s="33" t="s">
        <v>281</v>
      </c>
    </row>
    <row r="64" spans="1:3" x14ac:dyDescent="0.3">
      <c r="A64" s="40" t="s">
        <v>282</v>
      </c>
      <c r="B64" s="32" t="s">
        <v>283</v>
      </c>
      <c r="C64" s="33" t="s">
        <v>284</v>
      </c>
    </row>
    <row r="65" spans="1:3" x14ac:dyDescent="0.3">
      <c r="A65" s="40" t="s">
        <v>285</v>
      </c>
      <c r="B65" s="32" t="s">
        <v>286</v>
      </c>
      <c r="C65" s="33" t="s">
        <v>287</v>
      </c>
    </row>
    <row r="66" spans="1:3" x14ac:dyDescent="0.3">
      <c r="A66" s="40" t="s">
        <v>288</v>
      </c>
      <c r="B66" s="32" t="s">
        <v>289</v>
      </c>
      <c r="C66" s="33" t="s">
        <v>290</v>
      </c>
    </row>
    <row r="67" spans="1:3" x14ac:dyDescent="0.3">
      <c r="A67" s="40" t="s">
        <v>291</v>
      </c>
      <c r="B67" s="32" t="s">
        <v>292</v>
      </c>
      <c r="C67" s="33" t="s">
        <v>293</v>
      </c>
    </row>
    <row r="68" spans="1:3" x14ac:dyDescent="0.3">
      <c r="A68" s="40" t="s">
        <v>294</v>
      </c>
      <c r="B68" s="32" t="s">
        <v>295</v>
      </c>
      <c r="C68" s="33" t="s">
        <v>296</v>
      </c>
    </row>
    <row r="69" spans="1:3" x14ac:dyDescent="0.3">
      <c r="A69" s="40" t="s">
        <v>297</v>
      </c>
      <c r="B69" s="32" t="s">
        <v>298</v>
      </c>
      <c r="C69" s="33" t="s">
        <v>299</v>
      </c>
    </row>
    <row r="70" spans="1:3" x14ac:dyDescent="0.3">
      <c r="A70" s="40" t="s">
        <v>300</v>
      </c>
      <c r="B70" s="32" t="s">
        <v>301</v>
      </c>
      <c r="C70" s="33" t="s">
        <v>302</v>
      </c>
    </row>
    <row r="71" spans="1:3" x14ac:dyDescent="0.3">
      <c r="A71" s="40" t="s">
        <v>303</v>
      </c>
      <c r="B71" s="32" t="s">
        <v>283</v>
      </c>
      <c r="C71" s="33" t="s">
        <v>284</v>
      </c>
    </row>
    <row r="72" spans="1:3" x14ac:dyDescent="0.3">
      <c r="A72" s="40" t="s">
        <v>304</v>
      </c>
      <c r="B72" s="32" t="s">
        <v>305</v>
      </c>
      <c r="C72" s="33" t="s">
        <v>306</v>
      </c>
    </row>
    <row r="73" spans="1:3" x14ac:dyDescent="0.3">
      <c r="A73" s="40" t="s">
        <v>307</v>
      </c>
      <c r="B73" s="32" t="s">
        <v>308</v>
      </c>
      <c r="C73" s="33" t="s">
        <v>309</v>
      </c>
    </row>
    <row r="74" spans="1:3" x14ac:dyDescent="0.3">
      <c r="A74" s="40" t="s">
        <v>310</v>
      </c>
      <c r="B74" s="32" t="s">
        <v>311</v>
      </c>
      <c r="C74" s="33" t="s">
        <v>312</v>
      </c>
    </row>
    <row r="75" spans="1:3" x14ac:dyDescent="0.3">
      <c r="A75" s="40" t="s">
        <v>313</v>
      </c>
      <c r="B75" s="32" t="s">
        <v>314</v>
      </c>
      <c r="C75" s="33" t="s">
        <v>315</v>
      </c>
    </row>
    <row r="76" spans="1:3" x14ac:dyDescent="0.3">
      <c r="A76" s="40" t="s">
        <v>316</v>
      </c>
      <c r="B76" s="32" t="s">
        <v>317</v>
      </c>
      <c r="C76" s="33" t="s">
        <v>318</v>
      </c>
    </row>
    <row r="77" spans="1:3" x14ac:dyDescent="0.3">
      <c r="A77" s="40" t="s">
        <v>319</v>
      </c>
      <c r="B77" s="32" t="s">
        <v>320</v>
      </c>
      <c r="C77" s="33" t="s">
        <v>321</v>
      </c>
    </row>
    <row r="78" spans="1:3" x14ac:dyDescent="0.3">
      <c r="A78" s="40" t="s">
        <v>322</v>
      </c>
      <c r="B78" s="32" t="s">
        <v>323</v>
      </c>
      <c r="C78" s="33" t="s">
        <v>324</v>
      </c>
    </row>
    <row r="79" spans="1:3" x14ac:dyDescent="0.3">
      <c r="A79" s="40" t="s">
        <v>325</v>
      </c>
      <c r="B79" s="32" t="s">
        <v>326</v>
      </c>
      <c r="C79" s="33" t="s">
        <v>327</v>
      </c>
    </row>
    <row r="80" spans="1:3" x14ac:dyDescent="0.3">
      <c r="A80" s="40" t="s">
        <v>328</v>
      </c>
      <c r="B80" s="32" t="s">
        <v>329</v>
      </c>
      <c r="C80" s="33" t="s">
        <v>330</v>
      </c>
    </row>
    <row r="81" spans="1:3" x14ac:dyDescent="0.3">
      <c r="A81" s="40" t="s">
        <v>331</v>
      </c>
      <c r="B81" s="32" t="s">
        <v>332</v>
      </c>
      <c r="C81" s="33" t="s">
        <v>333</v>
      </c>
    </row>
    <row r="82" spans="1:3" x14ac:dyDescent="0.3">
      <c r="A82" s="40" t="s">
        <v>334</v>
      </c>
      <c r="B82" s="32" t="s">
        <v>335</v>
      </c>
      <c r="C82" s="33" t="s">
        <v>336</v>
      </c>
    </row>
    <row r="83" spans="1:3" x14ac:dyDescent="0.3">
      <c r="A83" s="40" t="s">
        <v>337</v>
      </c>
      <c r="B83" s="32" t="s">
        <v>338</v>
      </c>
      <c r="C83" s="33" t="s">
        <v>339</v>
      </c>
    </row>
    <row r="84" spans="1:3" x14ac:dyDescent="0.3">
      <c r="A84" s="40" t="s">
        <v>340</v>
      </c>
      <c r="B84" s="32" t="s">
        <v>341</v>
      </c>
      <c r="C84" s="33" t="s">
        <v>342</v>
      </c>
    </row>
    <row r="85" spans="1:3" x14ac:dyDescent="0.3">
      <c r="A85" s="40" t="s">
        <v>343</v>
      </c>
      <c r="B85" s="32" t="s">
        <v>344</v>
      </c>
      <c r="C85" s="33" t="s">
        <v>345</v>
      </c>
    </row>
    <row r="86" spans="1:3" x14ac:dyDescent="0.3">
      <c r="A86" s="40" t="s">
        <v>346</v>
      </c>
      <c r="B86" s="32" t="s">
        <v>347</v>
      </c>
      <c r="C86" s="33" t="s">
        <v>348</v>
      </c>
    </row>
    <row r="87" spans="1:3" x14ac:dyDescent="0.3">
      <c r="A87" s="40" t="s">
        <v>349</v>
      </c>
      <c r="B87" s="32" t="s">
        <v>350</v>
      </c>
      <c r="C87" s="33" t="s">
        <v>351</v>
      </c>
    </row>
    <row r="88" spans="1:3" x14ac:dyDescent="0.3">
      <c r="A88" s="40" t="s">
        <v>352</v>
      </c>
      <c r="B88" s="32" t="s">
        <v>353</v>
      </c>
      <c r="C88" s="33" t="s">
        <v>354</v>
      </c>
    </row>
    <row r="89" spans="1:3" x14ac:dyDescent="0.3">
      <c r="A89" s="40" t="s">
        <v>355</v>
      </c>
      <c r="B89" s="32" t="s">
        <v>356</v>
      </c>
      <c r="C89" s="33" t="s">
        <v>357</v>
      </c>
    </row>
    <row r="90" spans="1:3" x14ac:dyDescent="0.3">
      <c r="A90" s="40" t="s">
        <v>358</v>
      </c>
      <c r="B90" s="32" t="s">
        <v>359</v>
      </c>
      <c r="C90" s="33" t="s">
        <v>360</v>
      </c>
    </row>
    <row r="91" spans="1:3" x14ac:dyDescent="0.3">
      <c r="A91" s="40" t="s">
        <v>361</v>
      </c>
      <c r="B91" s="32" t="s">
        <v>362</v>
      </c>
      <c r="C91" s="33" t="s">
        <v>363</v>
      </c>
    </row>
    <row r="92" spans="1:3" x14ac:dyDescent="0.3">
      <c r="A92" s="40" t="s">
        <v>364</v>
      </c>
      <c r="B92" s="32" t="s">
        <v>365</v>
      </c>
      <c r="C92" s="33" t="s">
        <v>366</v>
      </c>
    </row>
    <row r="93" spans="1:3" x14ac:dyDescent="0.3">
      <c r="A93" s="40" t="s">
        <v>367</v>
      </c>
      <c r="B93" s="32" t="s">
        <v>368</v>
      </c>
      <c r="C93" s="33" t="s">
        <v>369</v>
      </c>
    </row>
    <row r="94" spans="1:3" x14ac:dyDescent="0.3">
      <c r="A94" s="40" t="s">
        <v>370</v>
      </c>
      <c r="B94" s="32" t="s">
        <v>371</v>
      </c>
      <c r="C94" s="33" t="s">
        <v>372</v>
      </c>
    </row>
    <row r="95" spans="1:3" x14ac:dyDescent="0.3">
      <c r="A95" s="40" t="s">
        <v>373</v>
      </c>
      <c r="B95" s="32" t="s">
        <v>374</v>
      </c>
      <c r="C95" s="33" t="s">
        <v>375</v>
      </c>
    </row>
    <row r="96" spans="1:3" x14ac:dyDescent="0.3">
      <c r="A96" s="40" t="s">
        <v>376</v>
      </c>
      <c r="B96" s="32" t="s">
        <v>377</v>
      </c>
      <c r="C96" s="33" t="s">
        <v>378</v>
      </c>
    </row>
    <row r="97" spans="1:3" x14ac:dyDescent="0.3">
      <c r="A97" s="40" t="s">
        <v>379</v>
      </c>
      <c r="B97" s="32" t="s">
        <v>380</v>
      </c>
      <c r="C97" s="33" t="s">
        <v>381</v>
      </c>
    </row>
    <row r="98" spans="1:3" x14ac:dyDescent="0.3">
      <c r="A98" s="40" t="s">
        <v>382</v>
      </c>
      <c r="B98" s="32" t="s">
        <v>383</v>
      </c>
      <c r="C98" s="33" t="s">
        <v>384</v>
      </c>
    </row>
    <row r="99" spans="1:3" x14ac:dyDescent="0.3">
      <c r="A99" s="40" t="s">
        <v>385</v>
      </c>
      <c r="B99" s="32" t="s">
        <v>386</v>
      </c>
      <c r="C99" s="33" t="s">
        <v>387</v>
      </c>
    </row>
    <row r="100" spans="1:3" x14ac:dyDescent="0.3">
      <c r="A100" s="40" t="s">
        <v>388</v>
      </c>
      <c r="B100" s="32" t="s">
        <v>389</v>
      </c>
      <c r="C100" s="33" t="s">
        <v>390</v>
      </c>
    </row>
    <row r="101" spans="1:3" x14ac:dyDescent="0.3">
      <c r="A101" s="40" t="s">
        <v>391</v>
      </c>
      <c r="B101" s="32" t="s">
        <v>392</v>
      </c>
      <c r="C101" s="33" t="s">
        <v>393</v>
      </c>
    </row>
    <row r="102" spans="1:3" x14ac:dyDescent="0.3">
      <c r="A102" s="40" t="s">
        <v>394</v>
      </c>
      <c r="B102" s="34" t="s">
        <v>395</v>
      </c>
      <c r="C102" s="32" t="s">
        <v>396</v>
      </c>
    </row>
    <row r="103" spans="1:3" x14ac:dyDescent="0.3">
      <c r="A103" s="40" t="s">
        <v>397</v>
      </c>
      <c r="B103" s="32" t="s">
        <v>398</v>
      </c>
      <c r="C103" s="33" t="s">
        <v>399</v>
      </c>
    </row>
    <row r="104" spans="1:3" x14ac:dyDescent="0.3">
      <c r="A104" s="40" t="s">
        <v>400</v>
      </c>
      <c r="B104" s="32" t="s">
        <v>401</v>
      </c>
      <c r="C104" s="33" t="s">
        <v>402</v>
      </c>
    </row>
    <row r="105" spans="1:3" x14ac:dyDescent="0.3">
      <c r="A105" s="40" t="s">
        <v>403</v>
      </c>
      <c r="B105" s="32" t="s">
        <v>404</v>
      </c>
      <c r="C105" s="33" t="s">
        <v>405</v>
      </c>
    </row>
    <row r="106" spans="1:3" x14ac:dyDescent="0.3">
      <c r="A106" s="40" t="s">
        <v>406</v>
      </c>
      <c r="B106" s="32" t="s">
        <v>377</v>
      </c>
      <c r="C106" s="33" t="s">
        <v>407</v>
      </c>
    </row>
    <row r="107" spans="1:3" x14ac:dyDescent="0.3">
      <c r="A107" s="40" t="s">
        <v>408</v>
      </c>
      <c r="B107" s="32" t="s">
        <v>409</v>
      </c>
      <c r="C107" s="33" t="s">
        <v>410</v>
      </c>
    </row>
    <row r="108" spans="1:3" x14ac:dyDescent="0.3">
      <c r="A108" s="40" t="s">
        <v>411</v>
      </c>
      <c r="B108" s="32" t="s">
        <v>374</v>
      </c>
      <c r="C108" s="33" t="s">
        <v>412</v>
      </c>
    </row>
    <row r="109" spans="1:3" x14ac:dyDescent="0.3">
      <c r="A109" s="40" t="s">
        <v>413</v>
      </c>
      <c r="B109" s="32" t="s">
        <v>414</v>
      </c>
      <c r="C109" s="33" t="s">
        <v>415</v>
      </c>
    </row>
    <row r="110" spans="1:3" x14ac:dyDescent="0.3">
      <c r="A110" s="40" t="s">
        <v>416</v>
      </c>
      <c r="B110" s="32" t="s">
        <v>417</v>
      </c>
      <c r="C110" s="33" t="s">
        <v>418</v>
      </c>
    </row>
    <row r="111" spans="1:3" x14ac:dyDescent="0.3">
      <c r="A111" s="40" t="s">
        <v>419</v>
      </c>
      <c r="B111" s="32" t="s">
        <v>420</v>
      </c>
      <c r="C111" s="33" t="s">
        <v>421</v>
      </c>
    </row>
    <row r="112" spans="1:3" x14ac:dyDescent="0.3">
      <c r="A112" s="40" t="s">
        <v>422</v>
      </c>
      <c r="B112" s="32" t="s">
        <v>389</v>
      </c>
      <c r="C112" s="33" t="s">
        <v>423</v>
      </c>
    </row>
    <row r="113" spans="1:3" x14ac:dyDescent="0.3">
      <c r="A113" s="40" t="s">
        <v>424</v>
      </c>
      <c r="B113" s="32" t="s">
        <v>425</v>
      </c>
      <c r="C113" s="33" t="s">
        <v>426</v>
      </c>
    </row>
    <row r="114" spans="1:3" x14ac:dyDescent="0.3">
      <c r="A114" s="40" t="s">
        <v>427</v>
      </c>
      <c r="B114" s="32" t="s">
        <v>428</v>
      </c>
      <c r="C114" s="33" t="s">
        <v>429</v>
      </c>
    </row>
    <row r="115" spans="1:3" x14ac:dyDescent="0.3">
      <c r="A115" s="40" t="s">
        <v>430</v>
      </c>
      <c r="B115" s="32" t="s">
        <v>431</v>
      </c>
      <c r="C115" s="33" t="s">
        <v>432</v>
      </c>
    </row>
    <row r="116" spans="1:3" x14ac:dyDescent="0.3">
      <c r="A116" s="40" t="s">
        <v>433</v>
      </c>
      <c r="B116" s="32" t="s">
        <v>434</v>
      </c>
      <c r="C116" s="33" t="s">
        <v>435</v>
      </c>
    </row>
    <row r="117" spans="1:3" x14ac:dyDescent="0.3">
      <c r="A117" s="40" t="s">
        <v>436</v>
      </c>
      <c r="B117" s="32" t="s">
        <v>437</v>
      </c>
      <c r="C117" s="33" t="s">
        <v>438</v>
      </c>
    </row>
    <row r="118" spans="1:3" x14ac:dyDescent="0.3">
      <c r="A118" s="40" t="s">
        <v>439</v>
      </c>
      <c r="B118" s="32" t="s">
        <v>440</v>
      </c>
      <c r="C118" s="33" t="s">
        <v>441</v>
      </c>
    </row>
    <row r="119" spans="1:3" x14ac:dyDescent="0.3">
      <c r="A119" s="40" t="s">
        <v>442</v>
      </c>
      <c r="B119" s="32" t="s">
        <v>443</v>
      </c>
      <c r="C119" s="33" t="s">
        <v>444</v>
      </c>
    </row>
    <row r="120" spans="1:3" x14ac:dyDescent="0.3">
      <c r="A120" s="40" t="s">
        <v>445</v>
      </c>
      <c r="B120" s="32" t="s">
        <v>443</v>
      </c>
      <c r="C120" s="33" t="s">
        <v>446</v>
      </c>
    </row>
    <row r="121" spans="1:3" x14ac:dyDescent="0.3">
      <c r="A121" s="40" t="s">
        <v>447</v>
      </c>
      <c r="B121" s="32" t="s">
        <v>448</v>
      </c>
      <c r="C121" s="33" t="s">
        <v>449</v>
      </c>
    </row>
    <row r="122" spans="1:3" x14ac:dyDescent="0.3">
      <c r="A122" s="40" t="s">
        <v>450</v>
      </c>
      <c r="B122" s="32" t="s">
        <v>451</v>
      </c>
      <c r="C122" s="33" t="s">
        <v>452</v>
      </c>
    </row>
    <row r="123" spans="1:3" x14ac:dyDescent="0.3">
      <c r="A123" s="40" t="s">
        <v>453</v>
      </c>
      <c r="B123" s="32" t="s">
        <v>454</v>
      </c>
      <c r="C123" s="33" t="s">
        <v>455</v>
      </c>
    </row>
    <row r="124" spans="1:3" x14ac:dyDescent="0.3">
      <c r="A124" s="40" t="s">
        <v>456</v>
      </c>
      <c r="B124" s="32" t="s">
        <v>457</v>
      </c>
      <c r="C124" s="33" t="s">
        <v>458</v>
      </c>
    </row>
    <row r="125" spans="1:3" x14ac:dyDescent="0.3">
      <c r="A125" s="40" t="s">
        <v>459</v>
      </c>
      <c r="B125" s="32" t="s">
        <v>460</v>
      </c>
      <c r="C125" s="33" t="s">
        <v>461</v>
      </c>
    </row>
    <row r="126" spans="1:3" x14ac:dyDescent="0.3">
      <c r="A126" s="40" t="s">
        <v>462</v>
      </c>
      <c r="B126" s="32" t="s">
        <v>463</v>
      </c>
      <c r="C126" s="33" t="s">
        <v>464</v>
      </c>
    </row>
    <row r="127" spans="1:3" x14ac:dyDescent="0.3">
      <c r="A127" s="40" t="s">
        <v>465</v>
      </c>
      <c r="B127" s="32" t="s">
        <v>466</v>
      </c>
      <c r="C127" s="33" t="s">
        <v>467</v>
      </c>
    </row>
    <row r="128" spans="1:3" x14ac:dyDescent="0.3">
      <c r="A128" s="40" t="s">
        <v>468</v>
      </c>
      <c r="B128" s="32" t="s">
        <v>469</v>
      </c>
      <c r="C128" s="33" t="s">
        <v>470</v>
      </c>
    </row>
    <row r="129" spans="1:3" x14ac:dyDescent="0.3">
      <c r="A129" s="40" t="s">
        <v>471</v>
      </c>
      <c r="B129" s="32" t="s">
        <v>472</v>
      </c>
      <c r="C129" s="33" t="s">
        <v>473</v>
      </c>
    </row>
    <row r="130" spans="1:3" x14ac:dyDescent="0.3">
      <c r="A130" s="40" t="s">
        <v>474</v>
      </c>
      <c r="B130" s="32" t="s">
        <v>475</v>
      </c>
      <c r="C130" s="33" t="s">
        <v>476</v>
      </c>
    </row>
    <row r="131" spans="1:3" x14ac:dyDescent="0.3">
      <c r="A131" s="40" t="s">
        <v>477</v>
      </c>
      <c r="B131" s="32" t="s">
        <v>478</v>
      </c>
      <c r="C131" s="33" t="s">
        <v>479</v>
      </c>
    </row>
    <row r="132" spans="1:3" x14ac:dyDescent="0.3">
      <c r="A132" s="40" t="s">
        <v>480</v>
      </c>
      <c r="B132" s="32" t="s">
        <v>481</v>
      </c>
      <c r="C132" s="33" t="s">
        <v>482</v>
      </c>
    </row>
    <row r="133" spans="1:3" x14ac:dyDescent="0.3">
      <c r="A133" s="40" t="s">
        <v>483</v>
      </c>
      <c r="B133" s="32" t="s">
        <v>484</v>
      </c>
      <c r="C133" s="33" t="s">
        <v>485</v>
      </c>
    </row>
    <row r="134" spans="1:3" x14ac:dyDescent="0.3">
      <c r="A134" s="40" t="s">
        <v>486</v>
      </c>
      <c r="B134" s="32" t="s">
        <v>487</v>
      </c>
      <c r="C134" s="33" t="s">
        <v>488</v>
      </c>
    </row>
    <row r="135" spans="1:3" x14ac:dyDescent="0.3">
      <c r="A135" s="40" t="s">
        <v>489</v>
      </c>
      <c r="B135" s="32" t="s">
        <v>490</v>
      </c>
      <c r="C135" s="33" t="s">
        <v>491</v>
      </c>
    </row>
    <row r="136" spans="1:3" x14ac:dyDescent="0.3">
      <c r="A136" s="40" t="s">
        <v>492</v>
      </c>
      <c r="B136" s="32" t="s">
        <v>493</v>
      </c>
      <c r="C136" s="33" t="s">
        <v>494</v>
      </c>
    </row>
    <row r="137" spans="1:3" x14ac:dyDescent="0.3">
      <c r="A137" s="40" t="s">
        <v>495</v>
      </c>
      <c r="B137" s="32" t="s">
        <v>496</v>
      </c>
      <c r="C137" s="33" t="s">
        <v>497</v>
      </c>
    </row>
    <row r="138" spans="1:3" x14ac:dyDescent="0.3">
      <c r="A138" s="40" t="s">
        <v>498</v>
      </c>
      <c r="B138" s="32" t="s">
        <v>499</v>
      </c>
      <c r="C138" s="33" t="s">
        <v>500</v>
      </c>
    </row>
    <row r="139" spans="1:3" x14ac:dyDescent="0.3">
      <c r="A139" s="40" t="s">
        <v>501</v>
      </c>
      <c r="B139" s="32" t="s">
        <v>502</v>
      </c>
      <c r="C139" s="33" t="s">
        <v>503</v>
      </c>
    </row>
    <row r="140" spans="1:3" x14ac:dyDescent="0.3">
      <c r="A140" s="40" t="s">
        <v>504</v>
      </c>
      <c r="B140" s="32" t="s">
        <v>505</v>
      </c>
      <c r="C140" s="33" t="s">
        <v>506</v>
      </c>
    </row>
    <row r="141" spans="1:3" x14ac:dyDescent="0.3">
      <c r="A141" s="40" t="s">
        <v>507</v>
      </c>
      <c r="B141" s="32" t="s">
        <v>508</v>
      </c>
      <c r="C141" s="33" t="s">
        <v>509</v>
      </c>
    </row>
    <row r="142" spans="1:3" x14ac:dyDescent="0.3">
      <c r="A142" s="40" t="s">
        <v>510</v>
      </c>
      <c r="B142" s="32" t="s">
        <v>511</v>
      </c>
      <c r="C142" s="33" t="s">
        <v>512</v>
      </c>
    </row>
    <row r="143" spans="1:3" x14ac:dyDescent="0.3">
      <c r="A143" s="40" t="s">
        <v>513</v>
      </c>
      <c r="B143" s="32" t="s">
        <v>514</v>
      </c>
      <c r="C143" s="33" t="s">
        <v>515</v>
      </c>
    </row>
    <row r="144" spans="1:3" x14ac:dyDescent="0.3">
      <c r="A144" s="40" t="s">
        <v>516</v>
      </c>
      <c r="B144" s="32" t="s">
        <v>517</v>
      </c>
      <c r="C144" s="33" t="s">
        <v>518</v>
      </c>
    </row>
    <row r="145" spans="1:3" x14ac:dyDescent="0.3">
      <c r="A145" s="40" t="s">
        <v>519</v>
      </c>
      <c r="B145" s="32" t="s">
        <v>520</v>
      </c>
      <c r="C145" s="33" t="s">
        <v>521</v>
      </c>
    </row>
    <row r="146" spans="1:3" x14ac:dyDescent="0.3">
      <c r="A146" s="40" t="s">
        <v>522</v>
      </c>
      <c r="B146" s="32" t="s">
        <v>523</v>
      </c>
      <c r="C146" s="33" t="s">
        <v>524</v>
      </c>
    </row>
    <row r="147" spans="1:3" x14ac:dyDescent="0.3">
      <c r="A147" s="40" t="s">
        <v>525</v>
      </c>
      <c r="B147" s="32" t="s">
        <v>526</v>
      </c>
      <c r="C147" s="33" t="s">
        <v>527</v>
      </c>
    </row>
    <row r="148" spans="1:3" x14ac:dyDescent="0.3">
      <c r="A148" s="40" t="s">
        <v>528</v>
      </c>
      <c r="B148" s="32" t="s">
        <v>529</v>
      </c>
      <c r="C148" s="33" t="s">
        <v>530</v>
      </c>
    </row>
    <row r="149" spans="1:3" x14ac:dyDescent="0.3">
      <c r="A149" s="40" t="s">
        <v>531</v>
      </c>
      <c r="B149" s="32" t="s">
        <v>532</v>
      </c>
      <c r="C149" s="33" t="s">
        <v>533</v>
      </c>
    </row>
    <row r="150" spans="1:3" x14ac:dyDescent="0.3">
      <c r="A150" s="40" t="s">
        <v>534</v>
      </c>
      <c r="B150" s="32" t="s">
        <v>535</v>
      </c>
      <c r="C150" s="33" t="s">
        <v>536</v>
      </c>
    </row>
    <row r="151" spans="1:3" x14ac:dyDescent="0.3">
      <c r="A151" s="40" t="s">
        <v>537</v>
      </c>
      <c r="B151" s="32" t="s">
        <v>538</v>
      </c>
      <c r="C151" s="33" t="s">
        <v>539</v>
      </c>
    </row>
    <row r="152" spans="1:3" x14ac:dyDescent="0.3">
      <c r="A152" s="40" t="s">
        <v>540</v>
      </c>
      <c r="B152" s="32" t="s">
        <v>541</v>
      </c>
      <c r="C152" s="33" t="s">
        <v>542</v>
      </c>
    </row>
    <row r="153" spans="1:3" x14ac:dyDescent="0.3">
      <c r="A153" s="40" t="s">
        <v>543</v>
      </c>
      <c r="B153" s="32" t="s">
        <v>544</v>
      </c>
      <c r="C153" s="33" t="s">
        <v>545</v>
      </c>
    </row>
    <row r="154" spans="1:3" x14ac:dyDescent="0.3">
      <c r="A154" s="40" t="s">
        <v>546</v>
      </c>
      <c r="B154" s="32" t="s">
        <v>547</v>
      </c>
      <c r="C154" s="33" t="s">
        <v>548</v>
      </c>
    </row>
    <row r="155" spans="1:3" x14ac:dyDescent="0.3">
      <c r="A155" s="40" t="s">
        <v>549</v>
      </c>
      <c r="B155" s="32" t="s">
        <v>550</v>
      </c>
      <c r="C155" s="33" t="s">
        <v>551</v>
      </c>
    </row>
    <row r="156" spans="1:3" x14ac:dyDescent="0.3">
      <c r="A156" s="40" t="s">
        <v>552</v>
      </c>
      <c r="B156" s="32" t="s">
        <v>553</v>
      </c>
      <c r="C156" s="33" t="s">
        <v>554</v>
      </c>
    </row>
    <row r="157" spans="1:3" x14ac:dyDescent="0.3">
      <c r="A157" s="40" t="s">
        <v>555</v>
      </c>
      <c r="B157" s="32" t="s">
        <v>556</v>
      </c>
      <c r="C157" s="33" t="s">
        <v>557</v>
      </c>
    </row>
    <row r="158" spans="1:3" x14ac:dyDescent="0.3">
      <c r="A158" s="40" t="s">
        <v>558</v>
      </c>
      <c r="B158" s="32" t="s">
        <v>559</v>
      </c>
      <c r="C158" s="33" t="s">
        <v>560</v>
      </c>
    </row>
    <row r="159" spans="1:3" x14ac:dyDescent="0.3">
      <c r="A159" s="40" t="s">
        <v>561</v>
      </c>
      <c r="B159" s="32" t="s">
        <v>562</v>
      </c>
      <c r="C159" s="33" t="s">
        <v>563</v>
      </c>
    </row>
    <row r="160" spans="1:3" x14ac:dyDescent="0.3">
      <c r="A160" s="40" t="s">
        <v>564</v>
      </c>
      <c r="B160" s="32" t="s">
        <v>565</v>
      </c>
      <c r="C160" s="33" t="s">
        <v>566</v>
      </c>
    </row>
    <row r="161" spans="1:3" x14ac:dyDescent="0.3">
      <c r="A161" s="40" t="s">
        <v>567</v>
      </c>
      <c r="B161" s="32" t="s">
        <v>568</v>
      </c>
      <c r="C161" s="33" t="s">
        <v>569</v>
      </c>
    </row>
    <row r="162" spans="1:3" x14ac:dyDescent="0.3">
      <c r="A162" s="40" t="s">
        <v>570</v>
      </c>
      <c r="B162" s="32" t="s">
        <v>571</v>
      </c>
      <c r="C162" s="33" t="s">
        <v>572</v>
      </c>
    </row>
    <row r="163" spans="1:3" x14ac:dyDescent="0.3">
      <c r="A163" s="40" t="s">
        <v>573</v>
      </c>
      <c r="B163" s="32" t="s">
        <v>574</v>
      </c>
      <c r="C163" s="33" t="s">
        <v>575</v>
      </c>
    </row>
    <row r="164" spans="1:3" x14ac:dyDescent="0.3">
      <c r="A164" s="40" t="s">
        <v>576</v>
      </c>
      <c r="B164" s="32" t="s">
        <v>577</v>
      </c>
      <c r="C164" s="33" t="s">
        <v>578</v>
      </c>
    </row>
    <row r="165" spans="1:3" x14ac:dyDescent="0.3">
      <c r="A165" s="40" t="s">
        <v>579</v>
      </c>
      <c r="B165" s="32" t="s">
        <v>580</v>
      </c>
      <c r="C165" s="33" t="s">
        <v>581</v>
      </c>
    </row>
    <row r="166" spans="1:3" x14ac:dyDescent="0.3">
      <c r="A166" s="40" t="s">
        <v>582</v>
      </c>
      <c r="B166" s="32" t="s">
        <v>583</v>
      </c>
      <c r="C166" s="33" t="s">
        <v>584</v>
      </c>
    </row>
    <row r="167" spans="1:3" x14ac:dyDescent="0.3">
      <c r="A167" s="40" t="s">
        <v>585</v>
      </c>
      <c r="B167" s="32" t="s">
        <v>586</v>
      </c>
      <c r="C167" s="33" t="s">
        <v>587</v>
      </c>
    </row>
    <row r="168" spans="1:3" x14ac:dyDescent="0.3">
      <c r="A168" s="40" t="s">
        <v>588</v>
      </c>
      <c r="B168" s="32" t="s">
        <v>589</v>
      </c>
      <c r="C168" s="33" t="s">
        <v>590</v>
      </c>
    </row>
    <row r="169" spans="1:3" x14ac:dyDescent="0.3">
      <c r="A169" s="40" t="s">
        <v>591</v>
      </c>
      <c r="B169" s="32" t="s">
        <v>592</v>
      </c>
      <c r="C169" s="33" t="s">
        <v>593</v>
      </c>
    </row>
    <row r="170" spans="1:3" x14ac:dyDescent="0.3">
      <c r="A170" s="40" t="s">
        <v>594</v>
      </c>
      <c r="B170" s="32" t="s">
        <v>595</v>
      </c>
      <c r="C170" s="33" t="s">
        <v>596</v>
      </c>
    </row>
    <row r="171" spans="1:3" x14ac:dyDescent="0.3">
      <c r="A171" s="40" t="s">
        <v>597</v>
      </c>
      <c r="B171" s="32" t="s">
        <v>598</v>
      </c>
      <c r="C171" s="33" t="s">
        <v>599</v>
      </c>
    </row>
    <row r="172" spans="1:3" x14ac:dyDescent="0.3">
      <c r="A172" s="40" t="s">
        <v>600</v>
      </c>
      <c r="B172" s="32" t="s">
        <v>601</v>
      </c>
      <c r="C172" s="33" t="s">
        <v>602</v>
      </c>
    </row>
    <row r="173" spans="1:3" x14ac:dyDescent="0.3">
      <c r="A173" s="40" t="s">
        <v>603</v>
      </c>
      <c r="B173" s="32" t="s">
        <v>604</v>
      </c>
      <c r="C173" s="33" t="s">
        <v>605</v>
      </c>
    </row>
    <row r="174" spans="1:3" x14ac:dyDescent="0.3">
      <c r="A174" s="40" t="s">
        <v>606</v>
      </c>
      <c r="B174" s="32" t="s">
        <v>607</v>
      </c>
      <c r="C174" s="33" t="s">
        <v>608</v>
      </c>
    </row>
    <row r="175" spans="1:3" x14ac:dyDescent="0.3">
      <c r="A175" s="40" t="s">
        <v>609</v>
      </c>
      <c r="B175" s="32" t="s">
        <v>610</v>
      </c>
      <c r="C175" s="33" t="s">
        <v>611</v>
      </c>
    </row>
    <row r="176" spans="1:3" x14ac:dyDescent="0.3">
      <c r="A176" s="40" t="s">
        <v>612</v>
      </c>
      <c r="B176" s="32" t="s">
        <v>613</v>
      </c>
      <c r="C176" s="33" t="s">
        <v>614</v>
      </c>
    </row>
    <row r="177" spans="1:3" x14ac:dyDescent="0.3">
      <c r="A177" s="40" t="s">
        <v>615</v>
      </c>
      <c r="B177" s="32" t="s">
        <v>616</v>
      </c>
      <c r="C177" s="33" t="s">
        <v>617</v>
      </c>
    </row>
    <row r="178" spans="1:3" x14ac:dyDescent="0.3">
      <c r="A178" s="40" t="s">
        <v>618</v>
      </c>
      <c r="B178" s="32" t="s">
        <v>619</v>
      </c>
      <c r="C178" s="33" t="s">
        <v>620</v>
      </c>
    </row>
    <row r="179" spans="1:3" x14ac:dyDescent="0.3">
      <c r="A179" s="40" t="s">
        <v>621</v>
      </c>
      <c r="B179" s="32" t="s">
        <v>622</v>
      </c>
      <c r="C179" s="33" t="s">
        <v>623</v>
      </c>
    </row>
    <row r="180" spans="1:3" x14ac:dyDescent="0.3">
      <c r="A180" s="40" t="s">
        <v>624</v>
      </c>
      <c r="B180" s="32" t="s">
        <v>625</v>
      </c>
      <c r="C180" s="33" t="s">
        <v>626</v>
      </c>
    </row>
    <row r="181" spans="1:3" x14ac:dyDescent="0.3">
      <c r="A181" s="40" t="s">
        <v>627</v>
      </c>
      <c r="B181" s="32" t="s">
        <v>628</v>
      </c>
      <c r="C181" s="33" t="s">
        <v>629</v>
      </c>
    </row>
    <row r="182" spans="1:3" x14ac:dyDescent="0.3">
      <c r="A182" s="40" t="s">
        <v>630</v>
      </c>
      <c r="B182" s="32" t="s">
        <v>508</v>
      </c>
      <c r="C182" s="33" t="s">
        <v>509</v>
      </c>
    </row>
    <row r="183" spans="1:3" x14ac:dyDescent="0.3">
      <c r="A183" s="40" t="s">
        <v>631</v>
      </c>
      <c r="B183" s="32" t="s">
        <v>511</v>
      </c>
      <c r="C183" s="33" t="s">
        <v>632</v>
      </c>
    </row>
    <row r="184" spans="1:3" x14ac:dyDescent="0.3">
      <c r="A184" s="40" t="s">
        <v>633</v>
      </c>
      <c r="B184" s="32" t="s">
        <v>634</v>
      </c>
      <c r="C184" s="33" t="s">
        <v>515</v>
      </c>
    </row>
    <row r="185" spans="1:3" x14ac:dyDescent="0.3">
      <c r="A185" s="40" t="s">
        <v>635</v>
      </c>
      <c r="B185" s="32" t="s">
        <v>520</v>
      </c>
      <c r="C185" s="33" t="s">
        <v>636</v>
      </c>
    </row>
    <row r="186" spans="1:3" x14ac:dyDescent="0.3">
      <c r="A186" s="40" t="s">
        <v>637</v>
      </c>
      <c r="B186" s="32" t="s">
        <v>638</v>
      </c>
      <c r="C186" s="33" t="s">
        <v>639</v>
      </c>
    </row>
    <row r="187" spans="1:3" x14ac:dyDescent="0.3">
      <c r="A187" s="40" t="s">
        <v>640</v>
      </c>
      <c r="B187" s="32" t="s">
        <v>641</v>
      </c>
      <c r="C187" s="33" t="s">
        <v>642</v>
      </c>
    </row>
    <row r="188" spans="1:3" x14ac:dyDescent="0.3">
      <c r="A188" s="40" t="s">
        <v>643</v>
      </c>
      <c r="B188" s="32" t="s">
        <v>644</v>
      </c>
      <c r="C188" s="33" t="s">
        <v>645</v>
      </c>
    </row>
    <row r="189" spans="1:3" x14ac:dyDescent="0.3">
      <c r="A189" s="40" t="s">
        <v>646</v>
      </c>
      <c r="B189" s="32" t="s">
        <v>647</v>
      </c>
      <c r="C189" s="33" t="s">
        <v>648</v>
      </c>
    </row>
    <row r="190" spans="1:3" x14ac:dyDescent="0.3">
      <c r="A190" s="40" t="s">
        <v>649</v>
      </c>
      <c r="B190" s="32" t="s">
        <v>650</v>
      </c>
      <c r="C190" s="33" t="s">
        <v>651</v>
      </c>
    </row>
    <row r="191" spans="1:3" x14ac:dyDescent="0.3">
      <c r="A191" s="40" t="s">
        <v>652</v>
      </c>
      <c r="B191" s="32" t="s">
        <v>653</v>
      </c>
      <c r="C191" s="33" t="s">
        <v>654</v>
      </c>
    </row>
    <row r="192" spans="1:3" x14ac:dyDescent="0.3">
      <c r="A192" s="40" t="s">
        <v>655</v>
      </c>
      <c r="B192" s="32" t="s">
        <v>656</v>
      </c>
      <c r="C192" s="33" t="s">
        <v>657</v>
      </c>
    </row>
    <row r="193" spans="1:3" x14ac:dyDescent="0.3">
      <c r="A193" s="40" t="s">
        <v>658</v>
      </c>
      <c r="B193" s="32" t="s">
        <v>659</v>
      </c>
      <c r="C193" s="33" t="s">
        <v>660</v>
      </c>
    </row>
    <row r="194" spans="1:3" x14ac:dyDescent="0.3">
      <c r="A194" s="40" t="s">
        <v>661</v>
      </c>
      <c r="B194" s="32" t="s">
        <v>662</v>
      </c>
      <c r="C194" s="33" t="s">
        <v>663</v>
      </c>
    </row>
    <row r="195" spans="1:3" x14ac:dyDescent="0.3">
      <c r="A195" s="40" t="s">
        <v>664</v>
      </c>
      <c r="B195" s="32" t="s">
        <v>665</v>
      </c>
      <c r="C195" s="33" t="s">
        <v>666</v>
      </c>
    </row>
    <row r="196" spans="1:3" x14ac:dyDescent="0.3">
      <c r="A196" s="40" t="s">
        <v>667</v>
      </c>
      <c r="B196" s="32" t="s">
        <v>668</v>
      </c>
      <c r="C196" s="33" t="s">
        <v>669</v>
      </c>
    </row>
    <row r="197" spans="1:3" x14ac:dyDescent="0.3">
      <c r="A197" s="40" t="s">
        <v>670</v>
      </c>
      <c r="B197" s="32" t="s">
        <v>529</v>
      </c>
      <c r="C197" s="33" t="s">
        <v>671</v>
      </c>
    </row>
    <row r="198" spans="1:3" x14ac:dyDescent="0.3">
      <c r="A198" s="40" t="s">
        <v>672</v>
      </c>
      <c r="B198" s="32" t="s">
        <v>550</v>
      </c>
      <c r="C198" s="33" t="s">
        <v>673</v>
      </c>
    </row>
    <row r="199" spans="1:3" x14ac:dyDescent="0.3">
      <c r="A199" s="40" t="s">
        <v>674</v>
      </c>
      <c r="B199" s="32" t="s">
        <v>553</v>
      </c>
      <c r="C199" s="33" t="s">
        <v>675</v>
      </c>
    </row>
    <row r="200" spans="1:3" x14ac:dyDescent="0.3">
      <c r="A200" s="40" t="s">
        <v>676</v>
      </c>
      <c r="B200" s="32" t="s">
        <v>677</v>
      </c>
      <c r="C200" s="33" t="s">
        <v>678</v>
      </c>
    </row>
    <row r="201" spans="1:3" x14ac:dyDescent="0.3">
      <c r="A201" s="40" t="s">
        <v>679</v>
      </c>
      <c r="B201" s="32" t="s">
        <v>541</v>
      </c>
      <c r="C201" s="33" t="s">
        <v>680</v>
      </c>
    </row>
    <row r="202" spans="1:3" x14ac:dyDescent="0.3">
      <c r="A202" s="40" t="s">
        <v>681</v>
      </c>
      <c r="B202" s="32" t="s">
        <v>544</v>
      </c>
      <c r="C202" s="33" t="s">
        <v>682</v>
      </c>
    </row>
    <row r="203" spans="1:3" x14ac:dyDescent="0.3">
      <c r="A203" s="40" t="s">
        <v>683</v>
      </c>
      <c r="B203" s="32" t="s">
        <v>547</v>
      </c>
      <c r="C203" s="33" t="s">
        <v>684</v>
      </c>
    </row>
    <row r="204" spans="1:3" x14ac:dyDescent="0.3">
      <c r="A204" s="40" t="s">
        <v>685</v>
      </c>
      <c r="B204" s="32" t="s">
        <v>686</v>
      </c>
      <c r="C204" s="33" t="s">
        <v>687</v>
      </c>
    </row>
    <row r="205" spans="1:3" x14ac:dyDescent="0.3">
      <c r="A205" s="40" t="s">
        <v>688</v>
      </c>
      <c r="B205" s="32" t="s">
        <v>689</v>
      </c>
      <c r="C205" s="33" t="s">
        <v>690</v>
      </c>
    </row>
    <row r="206" spans="1:3" x14ac:dyDescent="0.3">
      <c r="A206" s="40" t="s">
        <v>691</v>
      </c>
      <c r="B206" s="32" t="s">
        <v>508</v>
      </c>
      <c r="C206" s="33" t="s">
        <v>509</v>
      </c>
    </row>
    <row r="207" spans="1:3" x14ac:dyDescent="0.3">
      <c r="A207" s="40" t="s">
        <v>692</v>
      </c>
      <c r="B207" s="32" t="s">
        <v>535</v>
      </c>
      <c r="C207" s="33" t="s">
        <v>693</v>
      </c>
    </row>
    <row r="208" spans="1:3" x14ac:dyDescent="0.3">
      <c r="A208" s="40" t="s">
        <v>694</v>
      </c>
      <c r="B208" s="32" t="s">
        <v>695</v>
      </c>
      <c r="C208" s="33" t="s">
        <v>696</v>
      </c>
    </row>
    <row r="209" spans="1:3" x14ac:dyDescent="0.3">
      <c r="A209" s="40" t="s">
        <v>697</v>
      </c>
      <c r="B209" s="32" t="s">
        <v>698</v>
      </c>
      <c r="C209" s="33" t="s">
        <v>699</v>
      </c>
    </row>
    <row r="210" spans="1:3" x14ac:dyDescent="0.3">
      <c r="A210" s="40" t="s">
        <v>700</v>
      </c>
      <c r="B210" s="32" t="s">
        <v>701</v>
      </c>
      <c r="C210" s="33" t="s">
        <v>702</v>
      </c>
    </row>
    <row r="211" spans="1:3" x14ac:dyDescent="0.3">
      <c r="A211" s="40" t="s">
        <v>703</v>
      </c>
      <c r="B211" s="32" t="s">
        <v>704</v>
      </c>
      <c r="C211" s="33" t="s">
        <v>705</v>
      </c>
    </row>
    <row r="212" spans="1:3" x14ac:dyDescent="0.3">
      <c r="A212" s="40" t="s">
        <v>706</v>
      </c>
      <c r="B212" s="32" t="s">
        <v>707</v>
      </c>
      <c r="C212" s="33" t="s">
        <v>708</v>
      </c>
    </row>
    <row r="213" spans="1:3" x14ac:dyDescent="0.3">
      <c r="A213" s="40" t="s">
        <v>709</v>
      </c>
      <c r="B213" s="32" t="s">
        <v>710</v>
      </c>
      <c r="C213" s="33" t="s">
        <v>711</v>
      </c>
    </row>
    <row r="214" spans="1:3" x14ac:dyDescent="0.3">
      <c r="A214" s="40" t="s">
        <v>712</v>
      </c>
      <c r="B214" s="32" t="s">
        <v>713</v>
      </c>
      <c r="C214" s="33" t="s">
        <v>714</v>
      </c>
    </row>
    <row r="215" spans="1:3" x14ac:dyDescent="0.3">
      <c r="A215" s="40" t="s">
        <v>715</v>
      </c>
      <c r="B215" s="32" t="s">
        <v>716</v>
      </c>
      <c r="C215" s="33" t="s">
        <v>717</v>
      </c>
    </row>
    <row r="216" spans="1:3" x14ac:dyDescent="0.3">
      <c r="A216" s="40" t="s">
        <v>718</v>
      </c>
      <c r="B216" s="32" t="s">
        <v>719</v>
      </c>
      <c r="C216" s="33" t="s">
        <v>720</v>
      </c>
    </row>
    <row r="217" spans="1:3" x14ac:dyDescent="0.3">
      <c r="A217" s="40" t="s">
        <v>721</v>
      </c>
      <c r="B217" s="32" t="s">
        <v>722</v>
      </c>
      <c r="C217" s="33" t="s">
        <v>723</v>
      </c>
    </row>
    <row r="218" spans="1:3" x14ac:dyDescent="0.3">
      <c r="A218" s="40" t="s">
        <v>724</v>
      </c>
      <c r="B218" s="32" t="s">
        <v>156</v>
      </c>
      <c r="C218" s="33" t="s">
        <v>725</v>
      </c>
    </row>
    <row r="219" spans="1:3" x14ac:dyDescent="0.3">
      <c r="A219" s="40" t="s">
        <v>726</v>
      </c>
      <c r="B219" s="32" t="s">
        <v>727</v>
      </c>
      <c r="C219" s="33" t="s">
        <v>728</v>
      </c>
    </row>
    <row r="220" spans="1:3" x14ac:dyDescent="0.3">
      <c r="A220" s="40" t="s">
        <v>729</v>
      </c>
      <c r="B220" s="32" t="s">
        <v>730</v>
      </c>
      <c r="C220" s="33" t="s">
        <v>731</v>
      </c>
    </row>
    <row r="221" spans="1:3" x14ac:dyDescent="0.3">
      <c r="A221" s="40" t="s">
        <v>732</v>
      </c>
      <c r="B221" s="32" t="s">
        <v>698</v>
      </c>
      <c r="C221" s="33" t="s">
        <v>699</v>
      </c>
    </row>
    <row r="222" spans="1:3" x14ac:dyDescent="0.3">
      <c r="A222" s="40" t="s">
        <v>733</v>
      </c>
      <c r="B222" s="32" t="s">
        <v>734</v>
      </c>
      <c r="C222" s="33" t="s">
        <v>735</v>
      </c>
    </row>
    <row r="223" spans="1:3" x14ac:dyDescent="0.3">
      <c r="A223" s="40" t="s">
        <v>736</v>
      </c>
      <c r="B223" s="32" t="s">
        <v>737</v>
      </c>
      <c r="C223" s="33" t="s">
        <v>738</v>
      </c>
    </row>
    <row r="224" spans="1:3" x14ac:dyDescent="0.3">
      <c r="A224" s="40" t="s">
        <v>739</v>
      </c>
      <c r="B224" s="32" t="s">
        <v>740</v>
      </c>
      <c r="C224" s="33" t="s">
        <v>741</v>
      </c>
    </row>
    <row r="225" spans="1:3" x14ac:dyDescent="0.3">
      <c r="A225" s="40" t="s">
        <v>742</v>
      </c>
      <c r="B225" s="32" t="s">
        <v>743</v>
      </c>
      <c r="C225" s="33" t="s">
        <v>744</v>
      </c>
    </row>
    <row r="226" spans="1:3" x14ac:dyDescent="0.3">
      <c r="A226" s="40" t="s">
        <v>745</v>
      </c>
      <c r="B226" s="32" t="s">
        <v>746</v>
      </c>
      <c r="C226" s="33" t="s">
        <v>747</v>
      </c>
    </row>
    <row r="227" spans="1:3" x14ac:dyDescent="0.3">
      <c r="A227" s="40" t="s">
        <v>748</v>
      </c>
      <c r="B227" s="32" t="s">
        <v>749</v>
      </c>
      <c r="C227" s="33" t="s">
        <v>750</v>
      </c>
    </row>
    <row r="228" spans="1:3" x14ac:dyDescent="0.3">
      <c r="A228" s="40" t="s">
        <v>751</v>
      </c>
      <c r="B228" s="32" t="s">
        <v>752</v>
      </c>
      <c r="C228" s="33" t="s">
        <v>753</v>
      </c>
    </row>
    <row r="229" spans="1:3" x14ac:dyDescent="0.3">
      <c r="A229" s="40" t="s">
        <v>754</v>
      </c>
      <c r="B229" s="32" t="s">
        <v>755</v>
      </c>
      <c r="C229" s="33" t="s">
        <v>756</v>
      </c>
    </row>
    <row r="230" spans="1:3" x14ac:dyDescent="0.3">
      <c r="A230" s="40" t="s">
        <v>783</v>
      </c>
      <c r="B230" s="32" t="s">
        <v>784</v>
      </c>
      <c r="C230" s="33" t="s">
        <v>785</v>
      </c>
    </row>
    <row r="231" spans="1:3" x14ac:dyDescent="0.3">
      <c r="A231" s="40" t="s">
        <v>757</v>
      </c>
      <c r="B231" s="32" t="s">
        <v>758</v>
      </c>
      <c r="C231" s="33" t="s">
        <v>759</v>
      </c>
    </row>
    <row r="232" spans="1:3" x14ac:dyDescent="0.3">
      <c r="A232" s="40" t="s">
        <v>760</v>
      </c>
      <c r="B232" s="32" t="s">
        <v>761</v>
      </c>
      <c r="C232" s="33" t="s">
        <v>762</v>
      </c>
    </row>
  </sheetData>
  <mergeCells count="1">
    <mergeCell ref="A1:C2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H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8" x14ac:dyDescent="0.3">
      <c r="A2" t="s">
        <v>772</v>
      </c>
    </row>
    <row r="3" spans="1:8" x14ac:dyDescent="0.3">
      <c r="A3" s="51" t="s">
        <v>778</v>
      </c>
      <c r="B3" s="51" t="s">
        <v>777</v>
      </c>
    </row>
    <row r="4" spans="1:8" x14ac:dyDescent="0.3">
      <c r="A4" s="25" t="s">
        <v>72</v>
      </c>
      <c r="B4" s="51" t="s">
        <v>774</v>
      </c>
    </row>
    <row r="5" spans="1:8" x14ac:dyDescent="0.3">
      <c r="A5" s="25" t="s">
        <v>73</v>
      </c>
      <c r="B5" s="51" t="s">
        <v>775</v>
      </c>
    </row>
    <row r="6" spans="1:8" x14ac:dyDescent="0.3">
      <c r="A6" s="25" t="s">
        <v>773</v>
      </c>
      <c r="B6" s="51" t="s">
        <v>776</v>
      </c>
    </row>
    <row r="8" spans="1:8" x14ac:dyDescent="0.3">
      <c r="A8" s="52" t="s">
        <v>779</v>
      </c>
    </row>
    <row r="9" spans="1:8" x14ac:dyDescent="0.3">
      <c r="A9" s="51" t="s">
        <v>778</v>
      </c>
      <c r="B9" s="73" t="s">
        <v>777</v>
      </c>
      <c r="C9" s="73"/>
      <c r="D9" s="73"/>
      <c r="E9" s="73"/>
      <c r="F9" s="73"/>
      <c r="G9" s="73"/>
      <c r="H9" s="73"/>
    </row>
    <row r="10" spans="1:8" x14ac:dyDescent="0.3">
      <c r="A10" s="25" t="s">
        <v>72</v>
      </c>
      <c r="B10" s="73" t="s">
        <v>780</v>
      </c>
      <c r="C10" s="73"/>
      <c r="D10" s="73"/>
      <c r="E10" s="73"/>
      <c r="F10" s="73"/>
      <c r="G10" s="73"/>
      <c r="H10" s="73"/>
    </row>
    <row r="11" spans="1:8" x14ac:dyDescent="0.3">
      <c r="A11" s="25" t="s">
        <v>769</v>
      </c>
      <c r="B11" s="73" t="s">
        <v>781</v>
      </c>
      <c r="C11" s="73"/>
      <c r="D11" s="73"/>
      <c r="E11" s="73"/>
      <c r="F11" s="73"/>
      <c r="G11" s="73"/>
      <c r="H11" s="73"/>
    </row>
    <row r="12" spans="1:8" x14ac:dyDescent="0.3">
      <c r="A12" s="25" t="s">
        <v>770</v>
      </c>
      <c r="B12" s="73" t="s">
        <v>782</v>
      </c>
      <c r="C12" s="73"/>
      <c r="D12" s="73"/>
      <c r="E12" s="73"/>
      <c r="F12" s="73"/>
      <c r="G12" s="73"/>
      <c r="H12" s="73"/>
    </row>
  </sheetData>
  <mergeCells count="4">
    <mergeCell ref="B10:H10"/>
    <mergeCell ref="B9:H9"/>
    <mergeCell ref="B11:H11"/>
    <mergeCell ref="B12:H12"/>
  </mergeCells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Bowung Seo</cp:lastModifiedBy>
  <cp:lastPrinted>2010-12-07T05:44:48Z</cp:lastPrinted>
  <dcterms:created xsi:type="dcterms:W3CDTF">2010-12-02T06:37:40Z</dcterms:created>
  <dcterms:modified xsi:type="dcterms:W3CDTF">2025-06-10T01:30:57Z</dcterms:modified>
</cp:coreProperties>
</file>