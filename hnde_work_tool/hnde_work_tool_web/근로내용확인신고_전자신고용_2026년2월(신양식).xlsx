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업무\2024\_매월정기업무\6.일용직4대보험\근로내역확인신고\전자신고용\"/>
    </mc:Choice>
  </mc:AlternateContent>
  <bookViews>
    <workbookView xWindow="28680" yWindow="-120" windowWidth="29040" windowHeight="15840"/>
  </bookViews>
  <sheets>
    <sheet name="서식" sheetId="3" r:id="rId1"/>
    <sheet name="작성방법" sheetId="2" r:id="rId2"/>
    <sheet name="작성예시" sheetId="1" r:id="rId3"/>
    <sheet name="국적, 직종, 보험료부과구분코드" sheetId="9" r:id="rId4"/>
    <sheet name="체류자격" sheetId="10" r:id="rId5"/>
    <sheet name="Sheet1" sheetId="11" state="hidden" r:id="rId6"/>
  </sheets>
  <externalReferences>
    <externalReference r:id="rId7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20" i="3" l="1"/>
  <c r="AQ20" i="3" s="1"/>
  <c r="AP20" i="3"/>
  <c r="AS20" i="3"/>
  <c r="AT20" i="3"/>
  <c r="AW20" i="3"/>
  <c r="AX20" i="3"/>
  <c r="AY20" i="3"/>
  <c r="AO21" i="3"/>
  <c r="AP21" i="3"/>
  <c r="AQ21" i="3"/>
  <c r="AS21" i="3"/>
  <c r="AT21" i="3"/>
  <c r="AW21" i="3"/>
  <c r="AX21" i="3"/>
  <c r="AY21" i="3"/>
  <c r="AO22" i="3"/>
  <c r="AP22" i="3"/>
  <c r="AQ22" i="3"/>
  <c r="AS22" i="3"/>
  <c r="AT22" i="3"/>
  <c r="AW22" i="3"/>
  <c r="AX22" i="3"/>
  <c r="AY22" i="3"/>
  <c r="AO23" i="3"/>
  <c r="AQ23" i="3" s="1"/>
  <c r="AP23" i="3"/>
  <c r="AS23" i="3"/>
  <c r="AT23" i="3"/>
  <c r="AW23" i="3"/>
  <c r="AX23" i="3"/>
  <c r="AY23" i="3"/>
  <c r="AO24" i="3"/>
  <c r="AP24" i="3"/>
  <c r="AQ24" i="3"/>
  <c r="AS24" i="3"/>
  <c r="AT24" i="3"/>
  <c r="AW24" i="3"/>
  <c r="AX24" i="3"/>
  <c r="AY24" i="3"/>
  <c r="AO25" i="3"/>
  <c r="AP25" i="3"/>
  <c r="AQ25" i="3"/>
  <c r="AS25" i="3"/>
  <c r="AT25" i="3"/>
  <c r="AW25" i="3"/>
  <c r="AX25" i="3"/>
  <c r="AY25" i="3"/>
  <c r="AO26" i="3"/>
  <c r="AQ26" i="3" s="1"/>
  <c r="AP26" i="3"/>
  <c r="AS26" i="3"/>
  <c r="AT26" i="3"/>
  <c r="AW26" i="3"/>
  <c r="AX26" i="3"/>
  <c r="AY26" i="3"/>
  <c r="AO27" i="3"/>
  <c r="AP27" i="3"/>
  <c r="AQ27" i="3"/>
  <c r="AS27" i="3"/>
  <c r="AT27" i="3"/>
  <c r="AW27" i="3"/>
  <c r="AX27" i="3"/>
  <c r="AY27" i="3"/>
  <c r="AO28" i="3"/>
  <c r="AP28" i="3"/>
  <c r="AQ28" i="3"/>
  <c r="AS28" i="3"/>
  <c r="AT28" i="3"/>
  <c r="AW28" i="3"/>
  <c r="AX28" i="3"/>
  <c r="AY28" i="3"/>
  <c r="AO29" i="3"/>
  <c r="AQ29" i="3" s="1"/>
  <c r="AP29" i="3"/>
  <c r="AS29" i="3"/>
  <c r="AT29" i="3"/>
  <c r="AW29" i="3"/>
  <c r="AX29" i="3"/>
  <c r="AY29" i="3"/>
  <c r="AO30" i="3"/>
  <c r="AP30" i="3"/>
  <c r="AQ30" i="3"/>
  <c r="AS30" i="3"/>
  <c r="AT30" i="3"/>
  <c r="AW30" i="3"/>
  <c r="AX30" i="3"/>
  <c r="AY30" i="3"/>
  <c r="AO31" i="3"/>
  <c r="AP31" i="3"/>
  <c r="AQ31" i="3"/>
  <c r="AS31" i="3"/>
  <c r="AT31" i="3"/>
  <c r="AW31" i="3"/>
  <c r="AX31" i="3"/>
  <c r="AY31" i="3"/>
  <c r="AO32" i="3"/>
  <c r="AQ32" i="3" s="1"/>
  <c r="AP32" i="3"/>
  <c r="AS32" i="3"/>
  <c r="AT32" i="3"/>
  <c r="AW32" i="3"/>
  <c r="AX32" i="3"/>
  <c r="AY32" i="3"/>
  <c r="AO33" i="3"/>
  <c r="AP33" i="3"/>
  <c r="AQ33" i="3"/>
  <c r="AS33" i="3"/>
  <c r="AT33" i="3"/>
  <c r="AW33" i="3"/>
  <c r="AX33" i="3"/>
  <c r="AY33" i="3"/>
  <c r="AO34" i="3"/>
  <c r="AP34" i="3"/>
  <c r="AQ34" i="3"/>
  <c r="AS34" i="3"/>
  <c r="AT34" i="3"/>
  <c r="AW34" i="3"/>
  <c r="AX34" i="3"/>
  <c r="AY34" i="3"/>
  <c r="AO35" i="3"/>
  <c r="AQ35" i="3" s="1"/>
  <c r="AP35" i="3"/>
  <c r="AS35" i="3"/>
  <c r="AT35" i="3"/>
  <c r="AW35" i="3"/>
  <c r="AX35" i="3"/>
  <c r="AY35" i="3"/>
  <c r="AO36" i="3"/>
  <c r="AP36" i="3"/>
  <c r="AQ36" i="3"/>
  <c r="AS36" i="3"/>
  <c r="AT36" i="3"/>
  <c r="AW36" i="3"/>
  <c r="AX36" i="3"/>
  <c r="AY36" i="3"/>
  <c r="AO37" i="3"/>
  <c r="AP37" i="3"/>
  <c r="AQ37" i="3"/>
  <c r="AS37" i="3"/>
  <c r="AT37" i="3"/>
  <c r="AW37" i="3"/>
  <c r="AX37" i="3"/>
  <c r="AY37" i="3"/>
  <c r="AO38" i="3"/>
  <c r="AQ38" i="3" s="1"/>
  <c r="AP38" i="3"/>
  <c r="AS38" i="3"/>
  <c r="AT38" i="3"/>
  <c r="AW38" i="3"/>
  <c r="AX38" i="3"/>
  <c r="AY38" i="3"/>
  <c r="AO39" i="3"/>
  <c r="AP39" i="3"/>
  <c r="AQ39" i="3"/>
  <c r="AS39" i="3"/>
  <c r="AT39" i="3"/>
  <c r="AW39" i="3"/>
  <c r="AX39" i="3"/>
  <c r="AY39" i="3"/>
  <c r="AO40" i="3"/>
  <c r="AP40" i="3"/>
  <c r="AQ40" i="3"/>
  <c r="AS40" i="3"/>
  <c r="AT40" i="3"/>
  <c r="AW40" i="3"/>
  <c r="AX40" i="3"/>
  <c r="AY40" i="3"/>
  <c r="AO41" i="3"/>
  <c r="AQ41" i="3" s="1"/>
  <c r="AP41" i="3"/>
  <c r="AS41" i="3"/>
  <c r="AT41" i="3"/>
  <c r="AW41" i="3"/>
  <c r="AX41" i="3"/>
  <c r="AY41" i="3"/>
  <c r="AO42" i="3"/>
  <c r="AP42" i="3"/>
  <c r="AQ42" i="3"/>
  <c r="AS42" i="3"/>
  <c r="AT42" i="3"/>
  <c r="AW42" i="3"/>
  <c r="AX42" i="3"/>
  <c r="AY42" i="3"/>
  <c r="AO43" i="3"/>
  <c r="AP43" i="3"/>
  <c r="AQ43" i="3"/>
  <c r="AS43" i="3"/>
  <c r="AT43" i="3"/>
  <c r="AW43" i="3"/>
  <c r="AX43" i="3"/>
  <c r="AY43" i="3"/>
  <c r="AO44" i="3"/>
  <c r="AQ44" i="3" s="1"/>
  <c r="AP44" i="3"/>
  <c r="AS44" i="3"/>
  <c r="AT44" i="3"/>
  <c r="AW44" i="3"/>
  <c r="AX44" i="3"/>
  <c r="AY44" i="3"/>
  <c r="AO45" i="3"/>
  <c r="AP45" i="3"/>
  <c r="AQ45" i="3"/>
  <c r="AS45" i="3"/>
  <c r="AT45" i="3"/>
  <c r="AW45" i="3"/>
  <c r="AX45" i="3"/>
  <c r="AY45" i="3"/>
  <c r="AO46" i="3"/>
  <c r="AP46" i="3"/>
  <c r="AQ46" i="3"/>
  <c r="AS46" i="3"/>
  <c r="AT46" i="3"/>
  <c r="AW46" i="3"/>
  <c r="AX46" i="3"/>
  <c r="AY46" i="3"/>
  <c r="AO47" i="3"/>
  <c r="AQ47" i="3" s="1"/>
  <c r="AP47" i="3"/>
  <c r="AS47" i="3"/>
  <c r="AT47" i="3"/>
  <c r="AW47" i="3"/>
  <c r="AX47" i="3"/>
  <c r="AY47" i="3"/>
  <c r="AO48" i="3"/>
  <c r="AP48" i="3"/>
  <c r="AQ48" i="3"/>
  <c r="AS48" i="3"/>
  <c r="AT48" i="3"/>
  <c r="AW48" i="3"/>
  <c r="AX48" i="3"/>
  <c r="AY48" i="3"/>
  <c r="AO49" i="3"/>
  <c r="AP49" i="3"/>
  <c r="AQ49" i="3"/>
  <c r="AS49" i="3"/>
  <c r="AT49" i="3"/>
  <c r="AW49" i="3"/>
  <c r="AX49" i="3"/>
  <c r="AY49" i="3"/>
  <c r="AO50" i="3"/>
  <c r="AQ50" i="3" s="1"/>
  <c r="AP50" i="3"/>
  <c r="AS50" i="3"/>
  <c r="AT50" i="3"/>
  <c r="AW50" i="3"/>
  <c r="AX50" i="3"/>
  <c r="AY50" i="3"/>
  <c r="AO51" i="3"/>
  <c r="AP51" i="3"/>
  <c r="AQ51" i="3"/>
  <c r="AS51" i="3"/>
  <c r="AT51" i="3"/>
  <c r="AW51" i="3"/>
  <c r="AX51" i="3"/>
  <c r="AY51" i="3"/>
  <c r="AO52" i="3"/>
  <c r="AP52" i="3"/>
  <c r="AQ52" i="3"/>
  <c r="AS52" i="3"/>
  <c r="AT52" i="3"/>
  <c r="AW52" i="3"/>
  <c r="AX52" i="3"/>
  <c r="AY52" i="3"/>
  <c r="AO53" i="3"/>
  <c r="AQ53" i="3" s="1"/>
  <c r="AP53" i="3"/>
  <c r="AS53" i="3"/>
  <c r="AT53" i="3"/>
  <c r="AW53" i="3"/>
  <c r="AX53" i="3"/>
  <c r="AY53" i="3"/>
  <c r="AO54" i="3"/>
  <c r="AP54" i="3"/>
  <c r="AQ54" i="3"/>
  <c r="AS54" i="3"/>
  <c r="AT54" i="3"/>
  <c r="AW54" i="3"/>
  <c r="AX54" i="3"/>
  <c r="AY54" i="3"/>
  <c r="AO55" i="3"/>
  <c r="AP55" i="3"/>
  <c r="AQ55" i="3"/>
  <c r="AS55" i="3"/>
  <c r="AT55" i="3"/>
  <c r="AW55" i="3"/>
  <c r="AX55" i="3"/>
  <c r="AY55" i="3"/>
  <c r="AO56" i="3"/>
  <c r="AQ56" i="3" s="1"/>
  <c r="AP56" i="3"/>
  <c r="AS56" i="3"/>
  <c r="AT56" i="3"/>
  <c r="AW56" i="3"/>
  <c r="AX56" i="3"/>
  <c r="AY56" i="3"/>
  <c r="AO57" i="3"/>
  <c r="AP57" i="3"/>
  <c r="AQ57" i="3"/>
  <c r="AS57" i="3"/>
  <c r="AT57" i="3"/>
  <c r="AW57" i="3"/>
  <c r="AX57" i="3"/>
  <c r="AY57" i="3"/>
  <c r="AO58" i="3"/>
  <c r="AP58" i="3"/>
  <c r="AQ58" i="3"/>
  <c r="AS58" i="3"/>
  <c r="AT58" i="3"/>
  <c r="AW58" i="3"/>
  <c r="AX58" i="3"/>
  <c r="AY58" i="3"/>
  <c r="D20" i="3"/>
  <c r="F20" i="3"/>
  <c r="G20" i="3"/>
  <c r="H20" i="3"/>
  <c r="I20" i="3"/>
  <c r="D21" i="3"/>
  <c r="F21" i="3"/>
  <c r="G21" i="3"/>
  <c r="H21" i="3"/>
  <c r="I21" i="3"/>
  <c r="D22" i="3"/>
  <c r="F22" i="3"/>
  <c r="G22" i="3"/>
  <c r="H22" i="3"/>
  <c r="I22" i="3"/>
  <c r="D23" i="3"/>
  <c r="F23" i="3"/>
  <c r="G23" i="3"/>
  <c r="H23" i="3"/>
  <c r="I23" i="3"/>
  <c r="D24" i="3"/>
  <c r="F24" i="3"/>
  <c r="G24" i="3"/>
  <c r="H24" i="3"/>
  <c r="I24" i="3"/>
  <c r="D25" i="3"/>
  <c r="F25" i="3"/>
  <c r="G25" i="3"/>
  <c r="H25" i="3"/>
  <c r="I25" i="3"/>
  <c r="D26" i="3"/>
  <c r="F26" i="3"/>
  <c r="G26" i="3"/>
  <c r="H26" i="3"/>
  <c r="I26" i="3"/>
  <c r="D27" i="3"/>
  <c r="F27" i="3"/>
  <c r="G27" i="3"/>
  <c r="H27" i="3"/>
  <c r="I27" i="3"/>
  <c r="D28" i="3"/>
  <c r="F28" i="3"/>
  <c r="G28" i="3"/>
  <c r="H28" i="3"/>
  <c r="I28" i="3"/>
  <c r="D29" i="3"/>
  <c r="F29" i="3"/>
  <c r="G29" i="3"/>
  <c r="H29" i="3"/>
  <c r="I29" i="3"/>
  <c r="D30" i="3"/>
  <c r="F30" i="3"/>
  <c r="G30" i="3"/>
  <c r="H30" i="3"/>
  <c r="I30" i="3"/>
  <c r="D31" i="3"/>
  <c r="F31" i="3"/>
  <c r="G31" i="3"/>
  <c r="H31" i="3"/>
  <c r="I31" i="3"/>
  <c r="D32" i="3"/>
  <c r="F32" i="3"/>
  <c r="G32" i="3"/>
  <c r="H32" i="3"/>
  <c r="I32" i="3"/>
  <c r="D33" i="3"/>
  <c r="F33" i="3"/>
  <c r="G33" i="3"/>
  <c r="H33" i="3"/>
  <c r="I33" i="3"/>
  <c r="D34" i="3"/>
  <c r="F34" i="3"/>
  <c r="G34" i="3"/>
  <c r="H34" i="3"/>
  <c r="I34" i="3"/>
  <c r="D35" i="3"/>
  <c r="F35" i="3"/>
  <c r="G35" i="3"/>
  <c r="H35" i="3"/>
  <c r="I35" i="3"/>
  <c r="D36" i="3"/>
  <c r="F36" i="3"/>
  <c r="G36" i="3"/>
  <c r="H36" i="3"/>
  <c r="I36" i="3"/>
  <c r="D37" i="3"/>
  <c r="F37" i="3"/>
  <c r="G37" i="3"/>
  <c r="H37" i="3"/>
  <c r="I37" i="3"/>
  <c r="D38" i="3"/>
  <c r="F38" i="3"/>
  <c r="G38" i="3"/>
  <c r="H38" i="3"/>
  <c r="I38" i="3"/>
  <c r="D39" i="3"/>
  <c r="F39" i="3"/>
  <c r="G39" i="3"/>
  <c r="H39" i="3"/>
  <c r="I39" i="3"/>
  <c r="D40" i="3"/>
  <c r="F40" i="3"/>
  <c r="G40" i="3"/>
  <c r="H40" i="3"/>
  <c r="I40" i="3"/>
  <c r="D41" i="3"/>
  <c r="F41" i="3"/>
  <c r="G41" i="3"/>
  <c r="H41" i="3"/>
  <c r="I41" i="3"/>
  <c r="D42" i="3"/>
  <c r="F42" i="3"/>
  <c r="G42" i="3"/>
  <c r="H42" i="3"/>
  <c r="I42" i="3"/>
  <c r="D43" i="3"/>
  <c r="F43" i="3"/>
  <c r="G43" i="3"/>
  <c r="H43" i="3"/>
  <c r="I43" i="3"/>
  <c r="D44" i="3"/>
  <c r="F44" i="3"/>
  <c r="G44" i="3"/>
  <c r="H44" i="3"/>
  <c r="I44" i="3"/>
  <c r="D45" i="3"/>
  <c r="F45" i="3"/>
  <c r="G45" i="3"/>
  <c r="H45" i="3"/>
  <c r="I45" i="3"/>
  <c r="D46" i="3"/>
  <c r="F46" i="3"/>
  <c r="G46" i="3"/>
  <c r="H46" i="3"/>
  <c r="I46" i="3"/>
  <c r="D47" i="3"/>
  <c r="F47" i="3"/>
  <c r="G47" i="3"/>
  <c r="H47" i="3"/>
  <c r="I47" i="3"/>
  <c r="D48" i="3"/>
  <c r="F48" i="3"/>
  <c r="G48" i="3"/>
  <c r="H48" i="3"/>
  <c r="I48" i="3"/>
  <c r="D49" i="3"/>
  <c r="F49" i="3"/>
  <c r="G49" i="3"/>
  <c r="H49" i="3"/>
  <c r="I49" i="3"/>
  <c r="D50" i="3"/>
  <c r="F50" i="3"/>
  <c r="G50" i="3"/>
  <c r="H50" i="3"/>
  <c r="I50" i="3"/>
  <c r="D51" i="3"/>
  <c r="F51" i="3"/>
  <c r="G51" i="3"/>
  <c r="H51" i="3"/>
  <c r="I51" i="3"/>
  <c r="D52" i="3"/>
  <c r="F52" i="3"/>
  <c r="G52" i="3"/>
  <c r="H52" i="3"/>
  <c r="I52" i="3"/>
  <c r="D53" i="3"/>
  <c r="F53" i="3"/>
  <c r="G53" i="3"/>
  <c r="H53" i="3"/>
  <c r="I53" i="3"/>
  <c r="D54" i="3"/>
  <c r="F54" i="3"/>
  <c r="G54" i="3"/>
  <c r="H54" i="3"/>
  <c r="I54" i="3"/>
  <c r="D55" i="3"/>
  <c r="F55" i="3"/>
  <c r="G55" i="3"/>
  <c r="H55" i="3"/>
  <c r="I55" i="3"/>
  <c r="D56" i="3"/>
  <c r="F56" i="3"/>
  <c r="G56" i="3"/>
  <c r="H56" i="3"/>
  <c r="I56" i="3"/>
  <c r="D57" i="3"/>
  <c r="F57" i="3"/>
  <c r="G57" i="3"/>
  <c r="H57" i="3"/>
  <c r="I57" i="3"/>
  <c r="D58" i="3"/>
  <c r="F58" i="3"/>
  <c r="G58" i="3"/>
  <c r="H58" i="3"/>
  <c r="I58" i="3"/>
  <c r="B58" i="3"/>
  <c r="C58" i="3" s="1"/>
  <c r="B57" i="3"/>
  <c r="C57" i="3" s="1"/>
  <c r="B56" i="3"/>
  <c r="C56" i="3" s="1"/>
  <c r="B55" i="3"/>
  <c r="C55" i="3" s="1"/>
  <c r="B54" i="3"/>
  <c r="C54" i="3" s="1"/>
  <c r="B53" i="3"/>
  <c r="C53" i="3" s="1"/>
  <c r="B52" i="3"/>
  <c r="C52" i="3" s="1"/>
  <c r="B51" i="3"/>
  <c r="C51" i="3" s="1"/>
  <c r="B50" i="3"/>
  <c r="C50" i="3" s="1"/>
  <c r="B49" i="3"/>
  <c r="C49" i="3" s="1"/>
  <c r="B48" i="3"/>
  <c r="C48" i="3" s="1"/>
  <c r="B47" i="3"/>
  <c r="C47" i="3" s="1"/>
  <c r="B46" i="3"/>
  <c r="C46" i="3" s="1"/>
  <c r="B45" i="3"/>
  <c r="C45" i="3" s="1"/>
  <c r="B44" i="3"/>
  <c r="C44" i="3" s="1"/>
  <c r="B43" i="3"/>
  <c r="C43" i="3" s="1"/>
  <c r="B42" i="3"/>
  <c r="C42" i="3" s="1"/>
  <c r="B41" i="3"/>
  <c r="C41" i="3" s="1"/>
  <c r="B40" i="3"/>
  <c r="C40" i="3" s="1"/>
  <c r="B39" i="3"/>
  <c r="C39" i="3" s="1"/>
  <c r="B38" i="3"/>
  <c r="C38" i="3" s="1"/>
  <c r="B37" i="3"/>
  <c r="C37" i="3" s="1"/>
  <c r="B36" i="3"/>
  <c r="C36" i="3" s="1"/>
  <c r="B35" i="3"/>
  <c r="C35" i="3" s="1"/>
  <c r="B34" i="3"/>
  <c r="C34" i="3" s="1"/>
  <c r="B33" i="3"/>
  <c r="C33" i="3" s="1"/>
  <c r="B32" i="3"/>
  <c r="C32" i="3" s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C6" i="3" s="1"/>
  <c r="B5" i="3"/>
  <c r="C5" i="3" s="1"/>
  <c r="B4" i="3"/>
  <c r="C4" i="3" s="1"/>
  <c r="B3" i="3"/>
  <c r="C3" i="3" s="1"/>
  <c r="B2" i="3"/>
  <c r="C2" i="3" s="1"/>
  <c r="AY3" i="3" l="1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" i="3"/>
  <c r="AT8" i="3" l="1"/>
  <c r="AT9" i="3"/>
  <c r="AT11" i="3"/>
  <c r="AT12" i="3"/>
  <c r="AT13" i="3"/>
  <c r="AT14" i="3"/>
  <c r="AT16" i="3"/>
  <c r="AT17" i="3"/>
  <c r="AT19" i="3"/>
  <c r="AW14" i="3" l="1"/>
  <c r="AW13" i="3"/>
  <c r="AW18" i="3"/>
  <c r="AT18" i="3"/>
  <c r="AW17" i="3"/>
  <c r="AW12" i="3"/>
  <c r="AW8" i="3"/>
  <c r="AW19" i="3"/>
  <c r="AW9" i="3"/>
  <c r="AW16" i="3"/>
  <c r="AW11" i="3"/>
  <c r="AT15" i="3" l="1"/>
  <c r="AW15" i="3"/>
  <c r="AP19" i="3" l="1"/>
  <c r="AP7" i="3"/>
  <c r="I16" i="3"/>
  <c r="H16" i="3"/>
  <c r="F16" i="3"/>
  <c r="D16" i="3"/>
  <c r="I15" i="3"/>
  <c r="H6" i="3"/>
  <c r="G6" i="3"/>
  <c r="F6" i="3"/>
  <c r="H2" i="3"/>
  <c r="D11" i="3"/>
  <c r="I2" i="3"/>
  <c r="G16" i="3"/>
  <c r="D9" i="3"/>
  <c r="H15" i="3"/>
  <c r="D6" i="3"/>
  <c r="I18" i="3"/>
  <c r="I13" i="3"/>
  <c r="F4" i="3"/>
  <c r="AW5" i="3"/>
  <c r="H18" i="3"/>
  <c r="H13" i="3"/>
  <c r="D4" i="3"/>
  <c r="AW4" i="3"/>
  <c r="G18" i="3"/>
  <c r="G13" i="3"/>
  <c r="I3" i="3"/>
  <c r="AW3" i="3"/>
  <c r="F18" i="3"/>
  <c r="F13" i="3"/>
  <c r="H3" i="3"/>
  <c r="D18" i="3"/>
  <c r="G11" i="3"/>
  <c r="AT3" i="3"/>
  <c r="F11" i="3"/>
  <c r="AW2" i="3"/>
  <c r="G8" i="3"/>
  <c r="H19" i="3"/>
  <c r="F17" i="3"/>
  <c r="I14" i="3"/>
  <c r="G12" i="3"/>
  <c r="D10" i="3"/>
  <c r="H7" i="3"/>
  <c r="F5" i="3"/>
  <c r="AP2" i="3"/>
  <c r="AP15" i="3"/>
  <c r="AP3" i="3"/>
  <c r="AW10" i="3"/>
  <c r="G19" i="3"/>
  <c r="D17" i="3"/>
  <c r="H14" i="3"/>
  <c r="F12" i="3"/>
  <c r="I9" i="3"/>
  <c r="G7" i="3"/>
  <c r="D5" i="3"/>
  <c r="AP14" i="3"/>
  <c r="AT7" i="3"/>
  <c r="F2" i="3"/>
  <c r="F19" i="3"/>
  <c r="G14" i="3"/>
  <c r="D12" i="3"/>
  <c r="H9" i="3"/>
  <c r="F7" i="3"/>
  <c r="I4" i="3"/>
  <c r="AP13" i="3"/>
  <c r="AT6" i="3"/>
  <c r="G2" i="3"/>
  <c r="D19" i="3"/>
  <c r="F14" i="3"/>
  <c r="I11" i="3"/>
  <c r="G9" i="3"/>
  <c r="D7" i="3"/>
  <c r="H4" i="3"/>
  <c r="AP12" i="3"/>
  <c r="AT5" i="3"/>
  <c r="AW7" i="3"/>
  <c r="I8" i="3"/>
  <c r="D2" i="3"/>
  <c r="D14" i="3"/>
  <c r="H11" i="3"/>
  <c r="F9" i="3"/>
  <c r="I6" i="3"/>
  <c r="G4" i="3"/>
  <c r="AP11" i="3"/>
  <c r="AT2" i="3"/>
  <c r="AT4" i="3"/>
  <c r="AW6" i="3"/>
  <c r="AP10" i="3"/>
  <c r="AP9" i="3"/>
  <c r="I17" i="3"/>
  <c r="G15" i="3"/>
  <c r="D13" i="3"/>
  <c r="H10" i="3"/>
  <c r="F8" i="3"/>
  <c r="I5" i="3"/>
  <c r="G3" i="3"/>
  <c r="AP18" i="3"/>
  <c r="AP6" i="3"/>
  <c r="H8" i="3"/>
  <c r="I10" i="3"/>
  <c r="H17" i="3"/>
  <c r="F15" i="3"/>
  <c r="I12" i="3"/>
  <c r="G10" i="3"/>
  <c r="D8" i="3"/>
  <c r="H5" i="3"/>
  <c r="F3" i="3"/>
  <c r="AP17" i="3"/>
  <c r="AP5" i="3"/>
  <c r="AT10" i="3"/>
  <c r="AP8" i="3"/>
  <c r="I19" i="3"/>
  <c r="G17" i="3"/>
  <c r="D15" i="3"/>
  <c r="H12" i="3"/>
  <c r="F10" i="3"/>
  <c r="I7" i="3"/>
  <c r="G5" i="3"/>
  <c r="D3" i="3"/>
  <c r="AP16" i="3"/>
  <c r="AP4" i="3"/>
  <c r="AO5" i="3" l="1"/>
  <c r="AQ5" i="3" s="1"/>
  <c r="AO14" i="3"/>
  <c r="AQ14" i="3" s="1"/>
  <c r="AO2" i="3"/>
  <c r="AQ2" i="3" s="1"/>
  <c r="AO11" i="3"/>
  <c r="AQ11" i="3" s="1"/>
  <c r="AO17" i="3"/>
  <c r="AQ17" i="3" s="1"/>
  <c r="AO19" i="3"/>
  <c r="AQ19" i="3" s="1"/>
  <c r="AO6" i="3"/>
  <c r="AQ6" i="3" s="1"/>
  <c r="AO8" i="3"/>
  <c r="AQ8" i="3" s="1"/>
  <c r="AO4" i="3"/>
  <c r="AQ4" i="3" s="1"/>
  <c r="AO18" i="3"/>
  <c r="AQ18" i="3" s="1"/>
  <c r="AO12" i="3"/>
  <c r="AQ12" i="3" s="1"/>
  <c r="AO10" i="3"/>
  <c r="AQ10" i="3" s="1"/>
  <c r="AO15" i="3"/>
  <c r="AQ15" i="3" s="1"/>
  <c r="AO16" i="3"/>
  <c r="AQ16" i="3" s="1"/>
  <c r="AO3" i="3"/>
  <c r="AQ3" i="3" s="1"/>
  <c r="AO9" i="3"/>
  <c r="AQ9" i="3" s="1"/>
  <c r="AO7" i="3"/>
  <c r="AQ7" i="3" s="1"/>
  <c r="AO13" i="3"/>
  <c r="AQ13" i="3" s="1"/>
  <c r="AS3" i="3" l="1"/>
  <c r="AS6" i="3"/>
  <c r="AS4" i="3"/>
  <c r="AY2" i="3"/>
  <c r="AS2" i="3"/>
  <c r="AS5" i="3" l="1"/>
</calcChain>
</file>

<file path=xl/sharedStrings.xml><?xml version="1.0" encoding="utf-8"?>
<sst xmlns="http://schemas.openxmlformats.org/spreadsheetml/2006/main" count="1022" uniqueCount="851">
  <si>
    <t>7801015555561</t>
    <phoneticPr fontId="4" type="noConversion"/>
  </si>
  <si>
    <t>A1</t>
    <phoneticPr fontId="4" type="noConversion"/>
  </si>
  <si>
    <t>010</t>
    <phoneticPr fontId="4" type="noConversion"/>
  </si>
  <si>
    <t>1111</t>
    <phoneticPr fontId="4" type="noConversion"/>
  </si>
  <si>
    <t>1</t>
    <phoneticPr fontId="4" type="noConversion"/>
  </si>
  <si>
    <t>7801015555562</t>
    <phoneticPr fontId="4" type="noConversion"/>
  </si>
  <si>
    <t>7801015555563</t>
    <phoneticPr fontId="4" type="noConversion"/>
  </si>
  <si>
    <t>7801015555564</t>
    <phoneticPr fontId="4" type="noConversion"/>
  </si>
  <si>
    <t>7801015555565</t>
    <phoneticPr fontId="4" type="noConversion"/>
  </si>
  <si>
    <t>7801015555566</t>
    <phoneticPr fontId="4" type="noConversion"/>
  </si>
  <si>
    <t>7801015555567</t>
    <phoneticPr fontId="4" type="noConversion"/>
  </si>
  <si>
    <t>7801015555568</t>
    <phoneticPr fontId="4" type="noConversion"/>
  </si>
  <si>
    <t>7801015555569</t>
    <phoneticPr fontId="4" type="noConversion"/>
  </si>
  <si>
    <t>7801015555570</t>
    <phoneticPr fontId="4" type="noConversion"/>
  </si>
  <si>
    <t>국적코드</t>
  </si>
  <si>
    <t>체류자격코드</t>
  </si>
  <si>
    <t>직종코드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</si>
  <si>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</si>
  <si>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</si>
  <si>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</si>
  <si>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</si>
  <si>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</si>
  <si>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</si>
  <si>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</si>
  <si>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</si>
  <si>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</si>
  <si>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</si>
  <si>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</si>
  <si>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</si>
  <si>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</si>
  <si>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</si>
  <si>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</si>
  <si>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</si>
  <si>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</si>
  <si>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</si>
  <si>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</si>
  <si>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</si>
  <si>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</si>
  <si>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</si>
  <si>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</si>
  <si>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</si>
  <si>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</si>
  <si>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</si>
  <si>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</si>
  <si>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근로일수</t>
  </si>
  <si>
    <t>보수총액</t>
  </si>
  <si>
    <t>임금총액</t>
  </si>
  <si>
    <t>이직사유코드</t>
  </si>
  <si>
    <t>보험구분</t>
  </si>
  <si>
    <t>성명</t>
  </si>
  <si>
    <t>1~31일</t>
    <phoneticPr fontId="1" type="noConversion"/>
  </si>
  <si>
    <t>전화(지역번호)</t>
    <phoneticPr fontId="1" type="noConversion"/>
  </si>
  <si>
    <t>전화(지역번호)</t>
    <phoneticPr fontId="1" type="noConversion"/>
  </si>
  <si>
    <t>전화(국번)</t>
    <phoneticPr fontId="1" type="noConversion"/>
  </si>
  <si>
    <t>전화(국번)</t>
    <phoneticPr fontId="1" type="noConversion"/>
  </si>
  <si>
    <t>전화(뒷번호)</t>
    <phoneticPr fontId="1" type="noConversion"/>
  </si>
  <si>
    <t>전화(뒷번호)</t>
    <phoneticPr fontId="1" type="noConversion"/>
  </si>
  <si>
    <t>주민(외국인)등록번호</t>
  </si>
  <si>
    <t>보험구분</t>
    <phoneticPr fontId="4" type="noConversion"/>
  </si>
  <si>
    <t>성명</t>
    <phoneticPr fontId="4" type="noConversion"/>
  </si>
  <si>
    <t>주민(외국인)등록번호</t>
    <phoneticPr fontId="1" type="noConversion"/>
  </si>
  <si>
    <t>국적코드</t>
    <phoneticPr fontId="4" type="noConversion"/>
  </si>
  <si>
    <t>체류자격코드</t>
    <phoneticPr fontId="4" type="noConversion"/>
  </si>
  <si>
    <t>직종코드</t>
    <phoneticPr fontId="4" type="noConversion"/>
  </si>
  <si>
    <t>1일</t>
    <phoneticPr fontId="4" type="noConversion"/>
  </si>
  <si>
    <t>2일</t>
    <phoneticPr fontId="4" type="noConversion"/>
  </si>
  <si>
    <t>3일</t>
    <phoneticPr fontId="4" type="noConversion"/>
  </si>
  <si>
    <t>31일</t>
    <phoneticPr fontId="1" type="noConversion"/>
  </si>
  <si>
    <t>근로일수</t>
    <phoneticPr fontId="1" type="noConversion"/>
  </si>
  <si>
    <t>보수총액</t>
    <phoneticPr fontId="1" type="noConversion"/>
  </si>
  <si>
    <t>임금총액</t>
    <phoneticPr fontId="1" type="noConversion"/>
  </si>
  <si>
    <t>이직사유코드</t>
    <phoneticPr fontId="1" type="noConversion"/>
  </si>
  <si>
    <t>013</t>
    <phoneticPr fontId="1" type="noConversion"/>
  </si>
  <si>
    <t>100</t>
    <phoneticPr fontId="4" type="noConversion"/>
  </si>
  <si>
    <t>보험구분</t>
    <phoneticPr fontId="1" type="noConversion"/>
  </si>
  <si>
    <t>보험료부과구분
부호</t>
    <phoneticPr fontId="1" type="noConversion"/>
  </si>
  <si>
    <t>보험료부과구분
사유</t>
    <phoneticPr fontId="1" type="noConversion"/>
  </si>
  <si>
    <t>일평균근로시간</t>
    <phoneticPr fontId="1" type="noConversion"/>
  </si>
  <si>
    <t>보험료부과구분 부호
(해당자만 기재)</t>
    <phoneticPr fontId="1" type="noConversion"/>
  </si>
  <si>
    <t>5</t>
  </si>
  <si>
    <t>5</t>
    <phoneticPr fontId="1" type="noConversion"/>
  </si>
  <si>
    <t>51</t>
    <phoneticPr fontId="1" type="noConversion"/>
  </si>
  <si>
    <t>09</t>
    <phoneticPr fontId="1" type="noConversion"/>
  </si>
  <si>
    <t>57</t>
    <phoneticPr fontId="1" type="noConversion"/>
  </si>
  <si>
    <t>14</t>
    <phoneticPr fontId="1" type="noConversion"/>
  </si>
  <si>
    <t>1</t>
    <phoneticPr fontId="1" type="noConversion"/>
  </si>
  <si>
    <t>3</t>
    <phoneticPr fontId="1" type="noConversion"/>
  </si>
  <si>
    <t>56</t>
    <phoneticPr fontId="1" type="noConversion"/>
  </si>
  <si>
    <t>01</t>
    <phoneticPr fontId="1" type="noConversion"/>
  </si>
  <si>
    <t>주민등록표(외국인등록증 또는 국내거소신고증)상의 성명를 적습니다.</t>
    <phoneticPr fontId="1" type="noConversion"/>
  </si>
  <si>
    <t>홍길동1</t>
    <phoneticPr fontId="4" type="noConversion"/>
  </si>
  <si>
    <t>홍길동2</t>
  </si>
  <si>
    <t>홍길동3</t>
  </si>
  <si>
    <t>홍길동4</t>
  </si>
  <si>
    <t>홍길동5</t>
  </si>
  <si>
    <t>홍길동6</t>
  </si>
  <si>
    <t>홍길동7</t>
  </si>
  <si>
    <t>홍길동8</t>
  </si>
  <si>
    <t>홍길동9</t>
  </si>
  <si>
    <t>홍길동10</t>
  </si>
  <si>
    <t>고용/산재보험 직종 :</t>
  </si>
  <si>
    <t>고용/산재보험 보험료부과구분 :</t>
  </si>
  <si>
    <t>2</t>
    <phoneticPr fontId="1" type="noConversion"/>
  </si>
  <si>
    <t>국적, 직종, 보험료부과구분코드 조회</t>
    <phoneticPr fontId="1" type="noConversion"/>
  </si>
  <si>
    <t>국적 :</t>
    <phoneticPr fontId="1" type="noConversion"/>
  </si>
  <si>
    <t>보수총액
(과세소득)</t>
    <phoneticPr fontId="1" type="noConversion"/>
  </si>
  <si>
    <t>비과세소득</t>
    <phoneticPr fontId="1" type="noConversion"/>
  </si>
  <si>
    <t>소득세</t>
    <phoneticPr fontId="1" type="noConversion"/>
  </si>
  <si>
    <t>지방소득세</t>
    <phoneticPr fontId="1" type="noConversion"/>
  </si>
  <si>
    <t xml:space="preserve">보험료 부과구분 사유
(해당자만 기재) </t>
    <phoneticPr fontId="1" type="noConversion"/>
  </si>
  <si>
    <t>비과세소득
(해당자만 기재)</t>
    <phoneticPr fontId="1" type="noConversion"/>
  </si>
  <si>
    <t>소득세
(해당자만 기재)</t>
    <phoneticPr fontId="1" type="noConversion"/>
  </si>
  <si>
    <t>지방소득세
(해당자만 기재)</t>
    <phoneticPr fontId="1" type="noConversion"/>
  </si>
  <si>
    <t>생산직 일용근로자에게 지급한 야간근로수당 등 비과세소득의 해당 월의 합계금액</t>
    <phoneticPr fontId="1" type="noConversion"/>
  </si>
  <si>
    <t>[근로소득금액×원천징수세율(6%)]-세액공제(산출세액의 55%)를 적용하여 계산한 해당 월의 금액
 이 경우 근로소득금액은 1일 급여액에서 1일 10만원을 공제한 금액의 합계</t>
    <phoneticPr fontId="1" type="noConversion"/>
  </si>
  <si>
    <t>국세청
일용근로소득
신고여부</t>
    <phoneticPr fontId="1" type="noConversion"/>
  </si>
  <si>
    <t>Y</t>
    <phoneticPr fontId="1" type="noConversion"/>
  </si>
  <si>
    <t>신고시 Y 기재</t>
    <phoneticPr fontId="1" type="noConversion"/>
  </si>
  <si>
    <t>국세청
일용근로소득
신고여부</t>
    <phoneticPr fontId="1" type="noConversion"/>
  </si>
  <si>
    <t>보수지급기초일수</t>
    <phoneticPr fontId="1" type="noConversion"/>
  </si>
  <si>
    <t>지급월</t>
    <phoneticPr fontId="1" type="noConversion"/>
  </si>
  <si>
    <t>총지급액(과세소득)</t>
  </si>
  <si>
    <t>총지급액(과세소득)</t>
    <phoneticPr fontId="1" type="noConversion"/>
  </si>
  <si>
    <t>1000000</t>
    <phoneticPr fontId="1" type="noConversion"/>
  </si>
  <si>
    <t>4</t>
    <phoneticPr fontId="1" type="noConversion"/>
  </si>
  <si>
    <t>체류자격코드</t>
    <phoneticPr fontId="1" type="noConversion"/>
  </si>
  <si>
    <t>체류자격명</t>
    <phoneticPr fontId="1" type="noConversion"/>
  </si>
  <si>
    <t>체류자격설명</t>
    <phoneticPr fontId="1" type="noConversion"/>
  </si>
  <si>
    <t xml:space="preserve">0-0    </t>
  </si>
  <si>
    <t xml:space="preserve">체류자격없음 </t>
  </si>
  <si>
    <t>체류자격없음</t>
  </si>
  <si>
    <t xml:space="preserve">A-1    </t>
  </si>
  <si>
    <t xml:space="preserve">외교 </t>
  </si>
  <si>
    <t>외교</t>
  </si>
  <si>
    <t xml:space="preserve">A-2    </t>
  </si>
  <si>
    <t xml:space="preserve">공무 </t>
  </si>
  <si>
    <t>공무</t>
  </si>
  <si>
    <t xml:space="preserve">A-3-1  </t>
  </si>
  <si>
    <t xml:space="preserve">미군현역 </t>
  </si>
  <si>
    <t>주한미군(현역및예비역)</t>
  </si>
  <si>
    <t xml:space="preserve">A-3-2  </t>
  </si>
  <si>
    <t xml:space="preserve">미군군속 </t>
  </si>
  <si>
    <t>주한미군군속,초청계약자,가족</t>
  </si>
  <si>
    <t xml:space="preserve">A-3-99 </t>
  </si>
  <si>
    <t xml:space="preserve">기타협정 </t>
  </si>
  <si>
    <t>기타협정</t>
  </si>
  <si>
    <t xml:space="preserve">B-1    </t>
  </si>
  <si>
    <t xml:space="preserve">사증면제 </t>
  </si>
  <si>
    <t>사증면제</t>
  </si>
  <si>
    <t xml:space="preserve">B-2-1  </t>
  </si>
  <si>
    <t xml:space="preserve">일반무사증 </t>
  </si>
  <si>
    <t>일반무사증입국</t>
  </si>
  <si>
    <t xml:space="preserve">B-2-2  </t>
  </si>
  <si>
    <t xml:space="preserve">제주무사증 </t>
  </si>
  <si>
    <t>제주무사증입국</t>
  </si>
  <si>
    <t xml:space="preserve">C-1    </t>
  </si>
  <si>
    <t xml:space="preserve">일시취재 </t>
  </si>
  <si>
    <t>일시취재</t>
  </si>
  <si>
    <t xml:space="preserve">C-2-1  </t>
  </si>
  <si>
    <t xml:space="preserve">단기상용 </t>
  </si>
  <si>
    <t>단기상용</t>
  </si>
  <si>
    <t xml:space="preserve">C-2-2  </t>
  </si>
  <si>
    <t xml:space="preserve">우대기업 </t>
  </si>
  <si>
    <t>우대기업초청단기상용</t>
  </si>
  <si>
    <t xml:space="preserve">C-2-91 </t>
  </si>
  <si>
    <t>FTA상용</t>
  </si>
  <si>
    <t xml:space="preserve"> FTA상용방문자</t>
  </si>
  <si>
    <t xml:space="preserve">C-3    </t>
  </si>
  <si>
    <t xml:space="preserve">단기종합 </t>
  </si>
  <si>
    <t>자진출국단기종합</t>
  </si>
  <si>
    <t xml:space="preserve">C-3-1  </t>
  </si>
  <si>
    <t xml:space="preserve">단기일반 </t>
  </si>
  <si>
    <t xml:space="preserve">단기일반단체관광등(C-3-2)~일반관광(C-3-9)을제외 </t>
  </si>
  <si>
    <t xml:space="preserve">C-3-2  </t>
  </si>
  <si>
    <t xml:space="preserve">단체관광등 </t>
  </si>
  <si>
    <t>단체관광등</t>
  </si>
  <si>
    <t xml:space="preserve">C-3-3  </t>
  </si>
  <si>
    <t xml:space="preserve">의료관광 </t>
  </si>
  <si>
    <t>의료관광</t>
  </si>
  <si>
    <t xml:space="preserve">C-3-4  </t>
  </si>
  <si>
    <t xml:space="preserve">일반상용 </t>
  </si>
  <si>
    <t>일반상용</t>
  </si>
  <si>
    <t xml:space="preserve">C-3-5  </t>
  </si>
  <si>
    <t xml:space="preserve">협정단기상용 </t>
  </si>
  <si>
    <t>협정상단기상용</t>
  </si>
  <si>
    <t xml:space="preserve">C-3-6  </t>
  </si>
  <si>
    <t xml:space="preserve">C-3-7  </t>
  </si>
  <si>
    <t xml:space="preserve">도착관광 </t>
  </si>
  <si>
    <t>도착관광</t>
  </si>
  <si>
    <t xml:space="preserve">C-3-8  </t>
  </si>
  <si>
    <t xml:space="preserve">동포방문 </t>
  </si>
  <si>
    <t xml:space="preserve"> 외국국적동포3년간90일이내복수로국내출입국</t>
  </si>
  <si>
    <t xml:space="preserve">C-3-9  </t>
  </si>
  <si>
    <t xml:space="preserve">일반관광 </t>
  </si>
  <si>
    <t xml:space="preserve">C-3-2(단체관광등),의료관광(C-3-3)에포함안된일반관광 </t>
  </si>
  <si>
    <t xml:space="preserve">C-3-M  </t>
  </si>
  <si>
    <t xml:space="preserve">C-4    </t>
  </si>
  <si>
    <t xml:space="preserve">단기취업 </t>
  </si>
  <si>
    <t>단기취업</t>
  </si>
  <si>
    <t xml:space="preserve">D-1    </t>
  </si>
  <si>
    <t xml:space="preserve">문화예술 </t>
  </si>
  <si>
    <t>문화예술</t>
  </si>
  <si>
    <t xml:space="preserve">D-10   </t>
  </si>
  <si>
    <t>구직</t>
  </si>
  <si>
    <t>구직</t>
    <phoneticPr fontId="1" type="noConversion"/>
  </si>
  <si>
    <t xml:space="preserve">D-10-1 </t>
  </si>
  <si>
    <t xml:space="preserve">구직활동 </t>
  </si>
  <si>
    <t>구직활동자</t>
  </si>
  <si>
    <t xml:space="preserve">D-10-2 </t>
  </si>
  <si>
    <t xml:space="preserve">기술창업활동 </t>
  </si>
  <si>
    <t>기술창업활동자</t>
  </si>
  <si>
    <t xml:space="preserve">D-2    </t>
  </si>
  <si>
    <t xml:space="preserve">유학 </t>
  </si>
  <si>
    <t>유학</t>
  </si>
  <si>
    <t xml:space="preserve">D-2-1  </t>
  </si>
  <si>
    <t xml:space="preserve">전문학사 </t>
  </si>
  <si>
    <t>전문학사과정</t>
  </si>
  <si>
    <t xml:space="preserve">D-2-2  </t>
  </si>
  <si>
    <t xml:space="preserve">학사유학 </t>
  </si>
  <si>
    <t>학사과정</t>
  </si>
  <si>
    <t xml:space="preserve">D-2-3  </t>
  </si>
  <si>
    <t xml:space="preserve">석사유학 </t>
  </si>
  <si>
    <t>석사과정</t>
  </si>
  <si>
    <t xml:space="preserve">D-2-4  </t>
  </si>
  <si>
    <t xml:space="preserve">박사유학 </t>
  </si>
  <si>
    <t>박사과정</t>
  </si>
  <si>
    <t xml:space="preserve">D-2-5  </t>
  </si>
  <si>
    <t xml:space="preserve">연구유학 </t>
  </si>
  <si>
    <t>학술연구기관특정연구자</t>
  </si>
  <si>
    <t xml:space="preserve">D-2-6  </t>
  </si>
  <si>
    <t xml:space="preserve">교환학생 </t>
  </si>
  <si>
    <t>교환학생</t>
  </si>
  <si>
    <t xml:space="preserve">D-2-F  </t>
  </si>
  <si>
    <t>(구)교환학생</t>
  </si>
  <si>
    <t xml:space="preserve">D-2-S  </t>
  </si>
  <si>
    <t xml:space="preserve">시간취업 </t>
  </si>
  <si>
    <t>시간제아르바이트</t>
  </si>
  <si>
    <t xml:space="preserve">D-3-1  </t>
  </si>
  <si>
    <t xml:space="preserve">해투기술연수 </t>
  </si>
  <si>
    <t>해외투자,기술수출,산업설비수출</t>
  </si>
  <si>
    <t xml:space="preserve">D-3-B  </t>
  </si>
  <si>
    <t xml:space="preserve">중기협 </t>
  </si>
  <si>
    <t>수자</t>
  </si>
  <si>
    <t xml:space="preserve">D-3-C  </t>
  </si>
  <si>
    <t xml:space="preserve">수산협 </t>
  </si>
  <si>
    <t>수산업협동중앙회장연수자</t>
  </si>
  <si>
    <t xml:space="preserve">D-3-D  </t>
  </si>
  <si>
    <t xml:space="preserve">각부처 </t>
  </si>
  <si>
    <t>주무부처의장추천연수자</t>
  </si>
  <si>
    <t xml:space="preserve">D-3-E  </t>
  </si>
  <si>
    <t xml:space="preserve">건설협 </t>
  </si>
  <si>
    <t>건설협회추천</t>
  </si>
  <si>
    <t xml:space="preserve">D-3-F  </t>
  </si>
  <si>
    <t xml:space="preserve">농협 </t>
  </si>
  <si>
    <t>농업중앙회추천</t>
  </si>
  <si>
    <t xml:space="preserve">D-3-11 </t>
  </si>
  <si>
    <t xml:space="preserve">해외직접 </t>
  </si>
  <si>
    <t>해외직접투자</t>
  </si>
  <si>
    <t xml:space="preserve">D-3-12 </t>
  </si>
  <si>
    <t xml:space="preserve">기술수출 </t>
  </si>
  <si>
    <t>기술수출</t>
  </si>
  <si>
    <t xml:space="preserve">D-3-13 </t>
  </si>
  <si>
    <t xml:space="preserve">플랜트수출 </t>
  </si>
  <si>
    <t>플랜트수출</t>
  </si>
  <si>
    <t xml:space="preserve">D-4    </t>
  </si>
  <si>
    <t xml:space="preserve">일반연수 </t>
  </si>
  <si>
    <t>일반연수미상(미분류)</t>
  </si>
  <si>
    <t xml:space="preserve">D-4-1  </t>
  </si>
  <si>
    <t xml:space="preserve">대학부설어학원연수 </t>
  </si>
  <si>
    <t>대학부설어학원연수</t>
  </si>
  <si>
    <t xml:space="preserve">D-4-2  </t>
  </si>
  <si>
    <t xml:space="preserve">기타기관연수 </t>
  </si>
  <si>
    <t>대학부설어학원제외기타기관</t>
  </si>
  <si>
    <t xml:space="preserve">D-4-3  </t>
  </si>
  <si>
    <t xml:space="preserve">초중고생 </t>
  </si>
  <si>
    <t>고등학교이하재학생</t>
  </si>
  <si>
    <t xml:space="preserve">D-4-4  </t>
  </si>
  <si>
    <t xml:space="preserve">동포연수 </t>
  </si>
  <si>
    <t>무연고동포연수자</t>
  </si>
  <si>
    <t xml:space="preserve">D-4-5  </t>
  </si>
  <si>
    <t xml:space="preserve">한식조리연수 </t>
  </si>
  <si>
    <t>한식조리연수생</t>
  </si>
  <si>
    <t xml:space="preserve">D-4-6  </t>
  </si>
  <si>
    <t xml:space="preserve">사설기관연수 </t>
  </si>
  <si>
    <t>우수사설기관의외국인연수</t>
  </si>
  <si>
    <t xml:space="preserve">D-4-7  </t>
  </si>
  <si>
    <t xml:space="preserve">외국어연수 </t>
  </si>
  <si>
    <t>외국어연수생</t>
  </si>
  <si>
    <t xml:space="preserve">D-5    </t>
  </si>
  <si>
    <t xml:space="preserve">취재 </t>
  </si>
  <si>
    <t>취재</t>
  </si>
  <si>
    <t xml:space="preserve">D-6    </t>
  </si>
  <si>
    <t xml:space="preserve">종교 </t>
  </si>
  <si>
    <t>종교</t>
  </si>
  <si>
    <t xml:space="preserve">D-7    </t>
  </si>
  <si>
    <t xml:space="preserve">상사주재 </t>
  </si>
  <si>
    <t>상사주재</t>
  </si>
  <si>
    <t xml:space="preserve">D-7-1  </t>
  </si>
  <si>
    <t xml:space="preserve">외국기업 </t>
  </si>
  <si>
    <t>외국기업국내지사등에서주재</t>
  </si>
  <si>
    <t xml:space="preserve">D-7-2  </t>
  </si>
  <si>
    <t xml:space="preserve">내국기업 </t>
  </si>
  <si>
    <t>해외진출기업근무외국인력국내본사주재</t>
  </si>
  <si>
    <t xml:space="preserve">D-7-91 </t>
  </si>
  <si>
    <t>FTA전근</t>
  </si>
  <si>
    <t xml:space="preserve"> FTA기업내전근자</t>
  </si>
  <si>
    <t xml:space="preserve">D-7-92 </t>
  </si>
  <si>
    <t>FTA계약</t>
  </si>
  <si>
    <t xml:space="preserve"> FTA계약서비스공급자</t>
  </si>
  <si>
    <t xml:space="preserve">D-8    </t>
  </si>
  <si>
    <t xml:space="preserve">기업투자 </t>
  </si>
  <si>
    <t>기업투자</t>
  </si>
  <si>
    <t xml:space="preserve">D-8-1  </t>
  </si>
  <si>
    <t xml:space="preserve">법인에투자 </t>
  </si>
  <si>
    <t>법인에투자</t>
  </si>
  <si>
    <t xml:space="preserve">D-8-2  </t>
  </si>
  <si>
    <t xml:space="preserve">벤처투자 </t>
  </si>
  <si>
    <t>벤처투자</t>
  </si>
  <si>
    <t xml:space="preserve">D-8-3  </t>
  </si>
  <si>
    <t xml:space="preserve">개인기업투자 </t>
  </si>
  <si>
    <t>개인기업에투자</t>
  </si>
  <si>
    <t xml:space="preserve">D-8-4  </t>
  </si>
  <si>
    <t xml:space="preserve">기술창업 </t>
  </si>
  <si>
    <t>기술창업</t>
  </si>
  <si>
    <t xml:space="preserve">D-8-91 </t>
  </si>
  <si>
    <t xml:space="preserve">D-9    </t>
  </si>
  <si>
    <t xml:space="preserve">무역경영 </t>
  </si>
  <si>
    <t>무역경영</t>
  </si>
  <si>
    <t xml:space="preserve">D-9-1  </t>
  </si>
  <si>
    <t xml:space="preserve">무역고유거래 </t>
  </si>
  <si>
    <t>무역업고유번호를부여받은무역거래자</t>
  </si>
  <si>
    <t xml:space="preserve">D-9-2  </t>
  </si>
  <si>
    <t xml:space="preserve">수출설비 </t>
  </si>
  <si>
    <t>수출설비기계의설치운영보수자</t>
  </si>
  <si>
    <t xml:space="preserve">D-9-3  </t>
  </si>
  <si>
    <t xml:space="preserve">선박설비 </t>
  </si>
  <si>
    <t>선박건조설비제작감독</t>
  </si>
  <si>
    <t xml:space="preserve">D-9-4  </t>
  </si>
  <si>
    <t xml:space="preserve">경영영리사업 </t>
  </si>
  <si>
    <t>회사경영및영리사업자</t>
  </si>
  <si>
    <t xml:space="preserve">E-1    </t>
  </si>
  <si>
    <t xml:space="preserve">교수 </t>
  </si>
  <si>
    <t>교수</t>
  </si>
  <si>
    <t xml:space="preserve">E-10-1 </t>
  </si>
  <si>
    <t xml:space="preserve">내항선원 </t>
  </si>
  <si>
    <t>내항선원</t>
  </si>
  <si>
    <t xml:space="preserve">E-10-2 </t>
  </si>
  <si>
    <t xml:space="preserve">어선원 </t>
  </si>
  <si>
    <t>어선원</t>
  </si>
  <si>
    <t xml:space="preserve">E-10-3 </t>
  </si>
  <si>
    <t xml:space="preserve">순항선원 </t>
  </si>
  <si>
    <t>순항여객선(크루즈)취업선원</t>
  </si>
  <si>
    <t xml:space="preserve">E-2-1  </t>
  </si>
  <si>
    <t xml:space="preserve">일반회화강사 </t>
  </si>
  <si>
    <t>일반회화지도강사</t>
  </si>
  <si>
    <t xml:space="preserve">E-2-2  </t>
  </si>
  <si>
    <t xml:space="preserve">학교보조교사 </t>
  </si>
  <si>
    <t>정부초청초중고교영어보조교사</t>
  </si>
  <si>
    <t xml:space="preserve">E-2-91 </t>
  </si>
  <si>
    <t>FTA영어</t>
  </si>
  <si>
    <t xml:space="preserve"> FTA영어보조교사</t>
  </si>
  <si>
    <t xml:space="preserve">E-3    </t>
  </si>
  <si>
    <t xml:space="preserve">연구 </t>
  </si>
  <si>
    <t>연구</t>
  </si>
  <si>
    <t xml:space="preserve">E-4    </t>
  </si>
  <si>
    <t xml:space="preserve">기술지도 </t>
  </si>
  <si>
    <t>기술지도</t>
  </si>
  <si>
    <t xml:space="preserve">E-5    </t>
  </si>
  <si>
    <t xml:space="preserve">전문직업 </t>
  </si>
  <si>
    <t>전문직업</t>
  </si>
  <si>
    <t xml:space="preserve">E-6    </t>
  </si>
  <si>
    <t xml:space="preserve">예술흥행 </t>
  </si>
  <si>
    <t>예술흥행미상(미분류)</t>
  </si>
  <si>
    <t xml:space="preserve">E-6-1  </t>
  </si>
  <si>
    <t xml:space="preserve">예술연예 </t>
  </si>
  <si>
    <t xml:space="preserve">음악,미술,문학등의예술,방송연예활동 </t>
  </si>
  <si>
    <t xml:space="preserve">E-6-2  </t>
  </si>
  <si>
    <t xml:space="preserve">호텔유흥 </t>
  </si>
  <si>
    <t xml:space="preserve">호텔업시설,유흥업소등에서의공연 </t>
  </si>
  <si>
    <t xml:space="preserve">E-6-3  </t>
  </si>
  <si>
    <t xml:space="preserve">운동 </t>
  </si>
  <si>
    <t>운동선수,프로팀감독,매니저</t>
  </si>
  <si>
    <t xml:space="preserve">E-7-1  </t>
  </si>
  <si>
    <t xml:space="preserve">특정활동 </t>
  </si>
  <si>
    <t>특정활동</t>
  </si>
  <si>
    <t xml:space="preserve">E-7-2  </t>
  </si>
  <si>
    <t xml:space="preserve">의료코디 </t>
  </si>
  <si>
    <t>의료코디네이터</t>
  </si>
  <si>
    <t xml:space="preserve">E-7-3  </t>
  </si>
  <si>
    <t xml:space="preserve">해삼양식 </t>
  </si>
  <si>
    <t>해삼양식기술자</t>
  </si>
  <si>
    <t xml:space="preserve">E-7-91 </t>
  </si>
  <si>
    <t>FTA독립</t>
  </si>
  <si>
    <t xml:space="preserve"> FTA독립전문가</t>
  </si>
  <si>
    <t xml:space="preserve">E-9-1  </t>
  </si>
  <si>
    <t xml:space="preserve">제조업 </t>
  </si>
  <si>
    <t>제조업</t>
  </si>
  <si>
    <t xml:space="preserve">E-9-2  </t>
  </si>
  <si>
    <t xml:space="preserve">건설업 </t>
  </si>
  <si>
    <t>건설업</t>
  </si>
  <si>
    <t xml:space="preserve">E-9-3  </t>
  </si>
  <si>
    <t xml:space="preserve">농업 </t>
  </si>
  <si>
    <t>비전문취업농업종사자</t>
  </si>
  <si>
    <t xml:space="preserve">E-9-4  </t>
  </si>
  <si>
    <t xml:space="preserve">어업 </t>
  </si>
  <si>
    <t>어업</t>
  </si>
  <si>
    <t xml:space="preserve">E-9-5  </t>
  </si>
  <si>
    <t xml:space="preserve">서비스업 </t>
  </si>
  <si>
    <t xml:space="preserve">냉장,냉동창고업 </t>
  </si>
  <si>
    <t xml:space="preserve">E-9-6  </t>
  </si>
  <si>
    <t xml:space="preserve">재료수집 </t>
  </si>
  <si>
    <t>재생용재료수집업</t>
  </si>
  <si>
    <t xml:space="preserve">E-9-7  </t>
  </si>
  <si>
    <t xml:space="preserve">관광호텔 </t>
  </si>
  <si>
    <t>관광호텔업</t>
  </si>
  <si>
    <t xml:space="preserve">E-9-8  </t>
  </si>
  <si>
    <t>축산업</t>
    <phoneticPr fontId="1" type="noConversion"/>
  </si>
  <si>
    <t xml:space="preserve"> 비전문취업축산업종사자</t>
    <phoneticPr fontId="1" type="noConversion"/>
  </si>
  <si>
    <t xml:space="preserve">E-9-A  </t>
  </si>
  <si>
    <t xml:space="preserve">음식업 </t>
  </si>
  <si>
    <t xml:space="preserve">외국국적동포일반,기타음식업종 </t>
  </si>
  <si>
    <t xml:space="preserve">E-9-B  </t>
  </si>
  <si>
    <t xml:space="preserve">청소업 </t>
  </si>
  <si>
    <t>외국국적동포청소관련서비스업</t>
  </si>
  <si>
    <t xml:space="preserve">E-9-C  </t>
  </si>
  <si>
    <t xml:space="preserve">간병가사 </t>
  </si>
  <si>
    <t>외국국적동포개인간병가사서비스업</t>
  </si>
  <si>
    <t xml:space="preserve">E-9-D  </t>
  </si>
  <si>
    <t>외국국적동포건설업</t>
  </si>
  <si>
    <t xml:space="preserve">E-9-E  </t>
  </si>
  <si>
    <t xml:space="preserve">자차수리 </t>
  </si>
  <si>
    <t>외국국적동포자동차수리업</t>
  </si>
  <si>
    <t xml:space="preserve">E-9-F  </t>
  </si>
  <si>
    <t>외국국적동포제조업</t>
  </si>
  <si>
    <t xml:space="preserve">E-9-G  </t>
  </si>
  <si>
    <t xml:space="preserve">농축산업 </t>
  </si>
  <si>
    <t>외국국적동포농축산업</t>
  </si>
  <si>
    <t xml:space="preserve">E-9-H  </t>
  </si>
  <si>
    <t xml:space="preserve">연근해업 </t>
  </si>
  <si>
    <t>외국국적동포연근해어업</t>
  </si>
  <si>
    <t xml:space="preserve">E-9-I  </t>
  </si>
  <si>
    <t xml:space="preserve">욕탕업 </t>
  </si>
  <si>
    <t>외국국적동포욕탕업</t>
  </si>
  <si>
    <t xml:space="preserve">E-9-J  </t>
  </si>
  <si>
    <t>외국국적동포재생용재료수집및판매업</t>
  </si>
  <si>
    <t xml:space="preserve">E-9-K  </t>
  </si>
  <si>
    <t xml:space="preserve">냉장냉동 </t>
  </si>
  <si>
    <t xml:space="preserve">외국국적동포냉장,냉동창고업 </t>
  </si>
  <si>
    <t xml:space="preserve">E-9-L  </t>
  </si>
  <si>
    <t xml:space="preserve">비전문취업 </t>
  </si>
  <si>
    <t>비전문취업(합법화조치등)</t>
  </si>
  <si>
    <t xml:space="preserve">E-9-95 </t>
  </si>
  <si>
    <t xml:space="preserve">과거추천연수 </t>
  </si>
  <si>
    <t>과거단체추천형산업연수생</t>
  </si>
  <si>
    <t xml:space="preserve">E-9-96 </t>
  </si>
  <si>
    <t xml:space="preserve">과거연수취업 </t>
  </si>
  <si>
    <t>과거연수취업자격소지자</t>
  </si>
  <si>
    <t xml:space="preserve">E-9-97 </t>
  </si>
  <si>
    <t xml:space="preserve">과거특례고용 </t>
  </si>
  <si>
    <t>과거외국적동포비전문취업특례고용</t>
  </si>
  <si>
    <t xml:space="preserve">E-9-98 </t>
  </si>
  <si>
    <t xml:space="preserve">과거합법조치 </t>
  </si>
  <si>
    <t>과거합법조치후불법체류자</t>
  </si>
  <si>
    <t xml:space="preserve">F-1    </t>
  </si>
  <si>
    <t xml:space="preserve">방문동거 </t>
  </si>
  <si>
    <t>방문동거미분류</t>
  </si>
  <si>
    <t xml:space="preserve">F-1-1  </t>
  </si>
  <si>
    <t xml:space="preserve">친척방문,가족동거,피부양,가사정리등 </t>
  </si>
  <si>
    <t xml:space="preserve">F-1-2  </t>
  </si>
  <si>
    <t xml:space="preserve">가사보조 </t>
  </si>
  <si>
    <t>주한외국공관원등의가사보조인</t>
  </si>
  <si>
    <t xml:space="preserve">F-1-3  </t>
  </si>
  <si>
    <t xml:space="preserve">외교동거 </t>
  </si>
  <si>
    <t>주한외국공관원드의비세대동거인</t>
  </si>
  <si>
    <t xml:space="preserve">F-1-5  </t>
  </si>
  <si>
    <t xml:space="preserve">결혼이민가족 </t>
  </si>
  <si>
    <t>결혼이민자부모및가족</t>
  </si>
  <si>
    <t xml:space="preserve">F-1-6  </t>
  </si>
  <si>
    <t xml:space="preserve">결혼가사정리 </t>
  </si>
  <si>
    <t>결혼이민자이혼후가서정리등</t>
  </si>
  <si>
    <t xml:space="preserve">F-1-7  </t>
  </si>
  <si>
    <t xml:space="preserve">국적신청 </t>
  </si>
  <si>
    <t>국적신청자</t>
  </si>
  <si>
    <t xml:space="preserve">F-1-8  </t>
  </si>
  <si>
    <t xml:space="preserve">합법출생자녀 </t>
  </si>
  <si>
    <t xml:space="preserve"> 합법체류자의국내출생자녀 </t>
  </si>
  <si>
    <t xml:space="preserve">F-1-9  </t>
  </si>
  <si>
    <t xml:space="preserve">동포배우자등 </t>
  </si>
  <si>
    <t>F4의배우자및미성년자녀</t>
  </si>
  <si>
    <t xml:space="preserve">F-1-10 </t>
  </si>
  <si>
    <t xml:space="preserve">동포고령 </t>
  </si>
  <si>
    <t>중국및구소련동포고령자</t>
  </si>
  <si>
    <t xml:space="preserve">F-1-11 </t>
  </si>
  <si>
    <t xml:space="preserve">방문취업자녀 </t>
  </si>
  <si>
    <t>H2의19세미만자녀</t>
  </si>
  <si>
    <t xml:space="preserve">F-1-12 </t>
  </si>
  <si>
    <t xml:space="preserve">거주배우자 </t>
  </si>
  <si>
    <t xml:space="preserve">F-2의배우자 </t>
  </si>
  <si>
    <t xml:space="preserve">F-1-13 </t>
  </si>
  <si>
    <t xml:space="preserve">유학생부모 </t>
  </si>
  <si>
    <t>미성년유학생부모</t>
  </si>
  <si>
    <t xml:space="preserve">F-1-14 </t>
  </si>
  <si>
    <t xml:space="preserve">입양외국인 </t>
  </si>
  <si>
    <t>입양된외국인</t>
  </si>
  <si>
    <t xml:space="preserve">F-1-21 </t>
  </si>
  <si>
    <t xml:space="preserve">외교가사보조 </t>
  </si>
  <si>
    <t>주한외국공관원의가사보조인</t>
  </si>
  <si>
    <t xml:space="preserve">F-1-22 </t>
  </si>
  <si>
    <t xml:space="preserve">고액가사보조 </t>
  </si>
  <si>
    <t>고액투자가의가사보조인</t>
  </si>
  <si>
    <t xml:space="preserve">F-1-23 </t>
  </si>
  <si>
    <t xml:space="preserve">첨단가사보조 </t>
  </si>
  <si>
    <t>첨단투자가의가사보조인</t>
  </si>
  <si>
    <t xml:space="preserve">F-1-24 </t>
  </si>
  <si>
    <t xml:space="preserve">전문가사보조 </t>
  </si>
  <si>
    <t>전문인력등의가사보조인</t>
  </si>
  <si>
    <t xml:space="preserve">F-1-71 </t>
  </si>
  <si>
    <t xml:space="preserve">국적신청가족 </t>
  </si>
  <si>
    <t xml:space="preserve">국적신청자(외국국적동포)의배우자,자녀 </t>
  </si>
  <si>
    <t xml:space="preserve">F-1-72 </t>
  </si>
  <si>
    <t xml:space="preserve">영주신청가족 </t>
  </si>
  <si>
    <t>영주자격(F-5-7)을신청한자의배우자,자녀</t>
  </si>
  <si>
    <t xml:space="preserve">F-1-99 </t>
  </si>
  <si>
    <t xml:space="preserve">기타동거 </t>
  </si>
  <si>
    <t>기타동거</t>
  </si>
  <si>
    <t xml:space="preserve">F-2    </t>
  </si>
  <si>
    <t xml:space="preserve">거주 </t>
  </si>
  <si>
    <t>거주미분류</t>
  </si>
  <si>
    <t xml:space="preserve">F-2-1  </t>
  </si>
  <si>
    <t xml:space="preserve">국민배우자 </t>
  </si>
  <si>
    <t>국민의배우자</t>
  </si>
  <si>
    <t xml:space="preserve">F-2-2  </t>
  </si>
  <si>
    <t xml:space="preserve">국민자녀 </t>
  </si>
  <si>
    <t xml:space="preserve">국민의미성년자녀,국민과혼인관계에서출생한사람 </t>
  </si>
  <si>
    <t xml:space="preserve">F-2-3  </t>
  </si>
  <si>
    <t xml:space="preserve">영주자가족 </t>
  </si>
  <si>
    <t>영주자격소지자의배우자및미성년자녀</t>
  </si>
  <si>
    <t xml:space="preserve">F-2-4  </t>
  </si>
  <si>
    <t xml:space="preserve">난민 </t>
  </si>
  <si>
    <t>난민인정을받은자</t>
  </si>
  <si>
    <t xml:space="preserve">F-2-5  </t>
  </si>
  <si>
    <t xml:space="preserve">고액투자 </t>
  </si>
  <si>
    <t xml:space="preserve">고액투자장기체류외국인(3년이상) </t>
  </si>
  <si>
    <t xml:space="preserve">F-2-6  </t>
  </si>
  <si>
    <t xml:space="preserve">숙련기능 </t>
  </si>
  <si>
    <t>숙련생산기능외국인력</t>
  </si>
  <si>
    <t xml:space="preserve">F-2-7  </t>
  </si>
  <si>
    <t xml:space="preserve">점수우수인력 </t>
  </si>
  <si>
    <t>점수제에의한우수전문인력</t>
  </si>
  <si>
    <t xml:space="preserve">F-2-8  </t>
  </si>
  <si>
    <t xml:space="preserve">부동산투자 </t>
  </si>
  <si>
    <t>부동산투자이민자</t>
  </si>
  <si>
    <t xml:space="preserve">F-2-9  </t>
  </si>
  <si>
    <t xml:space="preserve">영주상실 </t>
  </si>
  <si>
    <t>영주자격상실자</t>
  </si>
  <si>
    <t xml:space="preserve">F-2-10 </t>
  </si>
  <si>
    <t xml:space="preserve">자녀양육 </t>
  </si>
  <si>
    <t>국민과의혼인관계에서출생한자를양육하고있는부또는모</t>
  </si>
  <si>
    <t xml:space="preserve">F-2-11 </t>
  </si>
  <si>
    <t xml:space="preserve">공무임용 </t>
  </si>
  <si>
    <t>공무원으로임용된자</t>
  </si>
  <si>
    <t xml:space="preserve">F-2-12 </t>
  </si>
  <si>
    <t xml:space="preserve">공익사업투자 </t>
  </si>
  <si>
    <t>공익사업투자이민자</t>
  </si>
  <si>
    <t xml:space="preserve">F-2-13 </t>
  </si>
  <si>
    <t xml:space="preserve">공익은퇴가족 </t>
  </si>
  <si>
    <t>공익사업투자이민자나은퇴이민자의배우자및미성년자녀</t>
  </si>
  <si>
    <t xml:space="preserve">F-2-14 </t>
  </si>
  <si>
    <t xml:space="preserve">은퇴이민투자 </t>
  </si>
  <si>
    <t>은퇴이민투자자</t>
  </si>
  <si>
    <t xml:space="preserve">F-2-71 </t>
  </si>
  <si>
    <t xml:space="preserve">점수가족 </t>
  </si>
  <si>
    <t>점수제해당자의배우자및미성년자녀</t>
  </si>
  <si>
    <t xml:space="preserve">F-2-81 </t>
  </si>
  <si>
    <t xml:space="preserve">부동가족 </t>
  </si>
  <si>
    <t>부동산투자이민자의배우자및미성년자녀</t>
  </si>
  <si>
    <t xml:space="preserve">F-2-99 </t>
  </si>
  <si>
    <t xml:space="preserve">기타장기 </t>
  </si>
  <si>
    <t>기타장기체류자</t>
  </si>
  <si>
    <t xml:space="preserve">F-3-1  </t>
  </si>
  <si>
    <t xml:space="preserve">동반 </t>
  </si>
  <si>
    <t>동반</t>
  </si>
  <si>
    <t xml:space="preserve">F-3-91 </t>
  </si>
  <si>
    <t>FTA동반</t>
  </si>
  <si>
    <t xml:space="preserve"> FTA동반</t>
  </si>
  <si>
    <t xml:space="preserve">F-4-1  </t>
  </si>
  <si>
    <t xml:space="preserve">기여동포 </t>
  </si>
  <si>
    <t>국익기여재외동포</t>
  </si>
  <si>
    <t xml:space="preserve">F-4-2  </t>
  </si>
  <si>
    <t xml:space="preserve">일반동포 </t>
  </si>
  <si>
    <t>일반재외동포</t>
  </si>
  <si>
    <t xml:space="preserve">F-4-11 </t>
  </si>
  <si>
    <t xml:space="preserve">재외동포본인 </t>
  </si>
  <si>
    <t>비고시본인</t>
  </si>
  <si>
    <t xml:space="preserve">F-4-12 </t>
  </si>
  <si>
    <t xml:space="preserve">재외동포직계가족 </t>
  </si>
  <si>
    <t>비고시부모</t>
  </si>
  <si>
    <t xml:space="preserve">F-4-13 </t>
  </si>
  <si>
    <t>DE계열6개월이상체류자</t>
  </si>
  <si>
    <t xml:space="preserve"> DE체류자 </t>
  </si>
  <si>
    <t xml:space="preserve">F-4-14 </t>
  </si>
  <si>
    <t xml:space="preserve">대학졸업자 </t>
  </si>
  <si>
    <t>대학졸업자</t>
  </si>
  <si>
    <t xml:space="preserve">F-4-15 </t>
  </si>
  <si>
    <t xml:space="preserve">OECD영주자 </t>
  </si>
  <si>
    <t>OECD영주자</t>
  </si>
  <si>
    <t xml:space="preserve">F-4-16 </t>
  </si>
  <si>
    <t xml:space="preserve">법인대표등 </t>
  </si>
  <si>
    <t>법인대표등</t>
  </si>
  <si>
    <t xml:space="preserve">F-4-17 </t>
  </si>
  <si>
    <t xml:space="preserve">10만불기업가 </t>
  </si>
  <si>
    <t>10만불기업가</t>
  </si>
  <si>
    <t xml:space="preserve">F-4-18 </t>
  </si>
  <si>
    <t xml:space="preserve">다국적기업 </t>
  </si>
  <si>
    <t>다국적기업임원등</t>
  </si>
  <si>
    <t xml:space="preserve">F-4-19 </t>
  </si>
  <si>
    <t xml:space="preserve">동포단체대표 </t>
  </si>
  <si>
    <t>동포단체대표등</t>
  </si>
  <si>
    <t xml:space="preserve">F-4-20 </t>
  </si>
  <si>
    <t xml:space="preserve">공무원등 </t>
  </si>
  <si>
    <t>공무원등</t>
  </si>
  <si>
    <t xml:space="preserve">F-4-21 </t>
  </si>
  <si>
    <t xml:space="preserve">교원 </t>
  </si>
  <si>
    <t>교원</t>
  </si>
  <si>
    <t xml:space="preserve">F-4-22 </t>
  </si>
  <si>
    <t xml:space="preserve">개인사업가 </t>
  </si>
  <si>
    <t>개인사업가</t>
  </si>
  <si>
    <t xml:space="preserve">F-4-23 </t>
  </si>
  <si>
    <t xml:space="preserve">빈번출입자 </t>
  </si>
  <si>
    <t>빈번출입자</t>
  </si>
  <si>
    <t xml:space="preserve">F-4-24 </t>
  </si>
  <si>
    <t xml:space="preserve">제조등근속자 </t>
  </si>
  <si>
    <t>제조업등근속자</t>
  </si>
  <si>
    <t xml:space="preserve">F-4-25 </t>
  </si>
  <si>
    <t xml:space="preserve">60세이상자 </t>
  </si>
  <si>
    <t>60세이상자</t>
  </si>
  <si>
    <t xml:space="preserve">F-4-26 </t>
  </si>
  <si>
    <t xml:space="preserve">수교전입국자 </t>
  </si>
  <si>
    <t>수교전입국자</t>
  </si>
  <si>
    <t xml:space="preserve">F-4-27 </t>
  </si>
  <si>
    <t xml:space="preserve">자격증소지자 </t>
  </si>
  <si>
    <t>자격증소지자</t>
  </si>
  <si>
    <t xml:space="preserve">F-4-99 </t>
  </si>
  <si>
    <t xml:space="preserve">재외동포기타 </t>
  </si>
  <si>
    <t>재외동포기타</t>
  </si>
  <si>
    <t xml:space="preserve">F-5    </t>
  </si>
  <si>
    <t xml:space="preserve">영주 </t>
  </si>
  <si>
    <t>영주미분류</t>
  </si>
  <si>
    <t xml:space="preserve">F-5-1  </t>
  </si>
  <si>
    <t xml:space="preserve">장기체류 </t>
  </si>
  <si>
    <t xml:space="preserve">5년이상대한민국에체류하고있는자 </t>
  </si>
  <si>
    <t xml:space="preserve">F-5-2  </t>
  </si>
  <si>
    <t xml:space="preserve">F-5-3  </t>
  </si>
  <si>
    <t>국민의미성년자녀</t>
  </si>
  <si>
    <t xml:space="preserve">F-5-4  </t>
  </si>
  <si>
    <t xml:space="preserve">영주가족 </t>
  </si>
  <si>
    <t xml:space="preserve">F-5-5  </t>
  </si>
  <si>
    <t xml:space="preserve">고액투자자로서5인이상국민고용자 </t>
  </si>
  <si>
    <t xml:space="preserve">F-5-6  </t>
  </si>
  <si>
    <t>재외동포2년</t>
  </si>
  <si>
    <t xml:space="preserve"> 재외동포자격으로2년이상체류자</t>
  </si>
  <si>
    <t xml:space="preserve">F-5-7  </t>
  </si>
  <si>
    <t xml:space="preserve">동포국적요건 </t>
  </si>
  <si>
    <t>외국국적동포로서국적취득요건을갖춘자</t>
  </si>
  <si>
    <t xml:space="preserve">F-5-8  </t>
  </si>
  <si>
    <t xml:space="preserve">재한화교 </t>
  </si>
  <si>
    <t>대한민국출생재한화교</t>
  </si>
  <si>
    <t xml:space="preserve">F-5-9  </t>
  </si>
  <si>
    <t xml:space="preserve">첨단박사 </t>
  </si>
  <si>
    <t>첨단산업분야박사학위소지자</t>
  </si>
  <si>
    <t xml:space="preserve">F-5-10 </t>
  </si>
  <si>
    <t xml:space="preserve">첨단학사 </t>
  </si>
  <si>
    <t>첨단산업분야학사학위또는자격증소지자</t>
  </si>
  <si>
    <t xml:space="preserve">F-5-11 </t>
  </si>
  <si>
    <t xml:space="preserve">특정능력 </t>
  </si>
  <si>
    <t>특정분야능력소유자</t>
  </si>
  <si>
    <t xml:space="preserve">F-5-12 </t>
  </si>
  <si>
    <t xml:space="preserve">특별공로 </t>
  </si>
  <si>
    <t>특별공로자</t>
  </si>
  <si>
    <t xml:space="preserve">F-5-13 </t>
  </si>
  <si>
    <t xml:space="preserve">연금수혜 </t>
  </si>
  <si>
    <t>연금수혜자</t>
  </si>
  <si>
    <t xml:space="preserve">F-5-14 </t>
  </si>
  <si>
    <t>방문취업4년</t>
  </si>
  <si>
    <t xml:space="preserve"> 방문취업자격으로4년이상제조업종등근무자</t>
  </si>
  <si>
    <t xml:space="preserve">F-5-15 </t>
  </si>
  <si>
    <t xml:space="preserve">국내박사 </t>
  </si>
  <si>
    <t>국내대학원에서정규과정을마치고박사학위를취득한자</t>
  </si>
  <si>
    <t xml:space="preserve">F-5-16 </t>
  </si>
  <si>
    <t xml:space="preserve">점수제 </t>
  </si>
  <si>
    <t xml:space="preserve">점수제로거주자격취득후3년이상체류자 </t>
  </si>
  <si>
    <t xml:space="preserve">F-5-17 </t>
  </si>
  <si>
    <t>부동산투자자와그배우자및미성년자녀</t>
  </si>
  <si>
    <t xml:space="preserve">F-5-18 </t>
  </si>
  <si>
    <t>점수제로영주자격취득자의배우자및미성년자녀</t>
  </si>
  <si>
    <t xml:space="preserve">F-5-19 </t>
  </si>
  <si>
    <t>부동산투자자로영주자격취득자의배우자및미성년자녀</t>
  </si>
  <si>
    <t xml:space="preserve">F-5-20 </t>
  </si>
  <si>
    <t xml:space="preserve">영주출생 </t>
  </si>
  <si>
    <t>영주자격자의국내출생자녀</t>
  </si>
  <si>
    <t xml:space="preserve">F-5-21 </t>
  </si>
  <si>
    <t xml:space="preserve">공익사업투자자로5년이상계속투자상태를유지한상태 </t>
  </si>
  <si>
    <t xml:space="preserve">F-5-22 </t>
  </si>
  <si>
    <t>공익사업투자자로영주자격취득자의배우자및미성년자녀</t>
  </si>
  <si>
    <t xml:space="preserve">F-5-23 </t>
  </si>
  <si>
    <t>은퇴이민투자자로투자상태유지등요건을갖춘사람</t>
  </si>
  <si>
    <t xml:space="preserve">F-5-24 </t>
  </si>
  <si>
    <t xml:space="preserve">법인창업영주 </t>
  </si>
  <si>
    <t xml:space="preserve">법인창업자격으로3년이상체류자 </t>
  </si>
  <si>
    <t xml:space="preserve">F-5-25 </t>
  </si>
  <si>
    <t xml:space="preserve">고액투자조건부영주 </t>
  </si>
  <si>
    <t xml:space="preserve">15억원이상을투자하고5년간투자유지서약자 </t>
  </si>
  <si>
    <t xml:space="preserve">F-6-1  </t>
  </si>
  <si>
    <t xml:space="preserve">F-6-2  </t>
  </si>
  <si>
    <t>자녀양육</t>
  </si>
  <si>
    <t xml:space="preserve">F-6-3  </t>
  </si>
  <si>
    <t xml:space="preserve">혼인단절 </t>
  </si>
  <si>
    <t>혼인단절</t>
  </si>
  <si>
    <t xml:space="preserve">G-1    </t>
  </si>
  <si>
    <t xml:space="preserve">기타 </t>
  </si>
  <si>
    <t>기타</t>
  </si>
  <si>
    <t xml:space="preserve">G-1-1  </t>
  </si>
  <si>
    <t xml:space="preserve">산재보상 </t>
  </si>
  <si>
    <t>산재보상청구및치료중인자와보호자</t>
  </si>
  <si>
    <t xml:space="preserve">G-1-2  </t>
  </si>
  <si>
    <t xml:space="preserve">질병사고 </t>
  </si>
  <si>
    <t xml:space="preserve">질병,사고로치료중인자와보호자 </t>
  </si>
  <si>
    <t xml:space="preserve">G-1-3  </t>
  </si>
  <si>
    <t xml:space="preserve">소송진행 </t>
  </si>
  <si>
    <t>각종소송진행중인자</t>
  </si>
  <si>
    <t xml:space="preserve">G-1-4  </t>
  </si>
  <si>
    <t xml:space="preserve">체임중재 </t>
  </si>
  <si>
    <t>체불임금노동관서중재중인자</t>
  </si>
  <si>
    <t xml:space="preserve">G-1-5  </t>
  </si>
  <si>
    <t xml:space="preserve">난민신청 </t>
  </si>
  <si>
    <t>난민신청자</t>
  </si>
  <si>
    <t xml:space="preserve">G-1-6  </t>
  </si>
  <si>
    <t xml:space="preserve">난민인허 </t>
  </si>
  <si>
    <t>난민불인정자중인도적체류허가자</t>
  </si>
  <si>
    <t xml:space="preserve">G-1-7  </t>
  </si>
  <si>
    <t xml:space="preserve">가족사망 </t>
  </si>
  <si>
    <t>사고등으로사망한자의가족</t>
  </si>
  <si>
    <t xml:space="preserve">G-1-9  </t>
  </si>
  <si>
    <t xml:space="preserve">임신출산 </t>
  </si>
  <si>
    <t xml:space="preserve">임신,출산등인도적체류허가자 </t>
  </si>
  <si>
    <t xml:space="preserve">G-1-M  </t>
  </si>
  <si>
    <t xml:space="preserve">치료,요양하고자하는자및동반가족 </t>
  </si>
  <si>
    <t xml:space="preserve">G-1-10 </t>
  </si>
  <si>
    <t xml:space="preserve">치료요양 </t>
  </si>
  <si>
    <t>외국인환자</t>
  </si>
  <si>
    <t xml:space="preserve">G-1-11 </t>
  </si>
  <si>
    <t xml:space="preserve">성매매피해자 </t>
  </si>
  <si>
    <t>성매매피해외국인여성등인도적고려가필요한자</t>
  </si>
  <si>
    <t xml:space="preserve">G-1-99 </t>
  </si>
  <si>
    <t xml:space="preserve">H-1    </t>
  </si>
  <si>
    <t xml:space="preserve">관광취업 </t>
  </si>
  <si>
    <t>관광취업</t>
  </si>
  <si>
    <t xml:space="preserve">H-2-1  </t>
  </si>
  <si>
    <t xml:space="preserve">연고방취 </t>
  </si>
  <si>
    <t>연고자또는국가유공자</t>
  </si>
  <si>
    <t xml:space="preserve">H-2-2  </t>
  </si>
  <si>
    <t xml:space="preserve">유학방취 </t>
  </si>
  <si>
    <t>유학생의부모또는배우자</t>
  </si>
  <si>
    <t xml:space="preserve">H-2-3  </t>
  </si>
  <si>
    <t xml:space="preserve">자진방취 </t>
  </si>
  <si>
    <t>2006년자진출국자</t>
  </si>
  <si>
    <t xml:space="preserve">H-2-4  </t>
  </si>
  <si>
    <t xml:space="preserve">연수방취 </t>
  </si>
  <si>
    <t>연수취업후자진귀국자</t>
  </si>
  <si>
    <t xml:space="preserve">H-2-5  </t>
  </si>
  <si>
    <t xml:space="preserve">추첨방취 </t>
  </si>
  <si>
    <t>한국말시험등으로선발된자</t>
  </si>
  <si>
    <t xml:space="preserve">H-2-6  </t>
  </si>
  <si>
    <t xml:space="preserve">변경방취 </t>
  </si>
  <si>
    <t>무연고동포연수후자격변경자</t>
  </si>
  <si>
    <t xml:space="preserve">H-2-7  </t>
  </si>
  <si>
    <t xml:space="preserve">만기방취 </t>
  </si>
  <si>
    <t>만기출국자재입국자</t>
  </si>
  <si>
    <t xml:space="preserve">H-2-99 </t>
  </si>
  <si>
    <t xml:space="preserve">기타방취 </t>
  </si>
  <si>
    <t>기타(자격변경자포함)</t>
  </si>
  <si>
    <t xml:space="preserve">T-1-1  </t>
  </si>
  <si>
    <t xml:space="preserve">관광상륙 </t>
  </si>
  <si>
    <t>선박도착관광상륙허가자</t>
  </si>
  <si>
    <t>국세청 일용근로소득 신고여부</t>
    <phoneticPr fontId="1" type="noConversion"/>
  </si>
  <si>
    <t>소득세의 10%</t>
    <phoneticPr fontId="1" type="noConversion"/>
  </si>
  <si>
    <t>총지급액
(과세소득)</t>
    <phoneticPr fontId="1" type="noConversion"/>
  </si>
  <si>
    <r>
      <t xml:space="preserve">피보험기간 중 </t>
    </r>
    <r>
      <rPr>
        <sz val="10"/>
        <color indexed="8"/>
        <rFont val="맑은 고딕"/>
        <family val="3"/>
        <charset val="129"/>
      </rPr>
      <t>"보수지급의 기초가 된 일수"를 말하며, 이 경우 "보수지급의 기초가 된 일수"에는 현실적으로 근로하지 아니한 C10날이 포함될 수 있습니다. 무급휴일, 무급휴무일 또는 결근일 등 보수지급일수에서 제외하는 경우에는 그 일수를 제외한 일수가 됩니다.</t>
    </r>
    <phoneticPr fontId="1" type="noConversion"/>
  </si>
  <si>
    <r>
      <t>일용근로자에게 지급한 급여액</t>
    </r>
    <r>
      <rPr>
        <sz val="10"/>
        <color indexed="8"/>
        <rFont val="맑은 고딕"/>
        <family val="3"/>
        <charset val="129"/>
      </rPr>
      <t>(비과세소득 제외)의 월별 합계금액을 적습니다.</t>
    </r>
  </si>
  <si>
    <t>&lt;작성법&gt; 근로내용확인신고서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</si>
  <si>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</si>
  <si>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</si>
  <si>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</si>
  <si>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보험구분</t>
    <phoneticPr fontId="22" type="noConversion"/>
  </si>
  <si>
    <t>5</t>
    <phoneticPr fontId="1" type="noConversion"/>
  </si>
  <si>
    <t>산재보험</t>
    <phoneticPr fontId="22" type="noConversion"/>
  </si>
  <si>
    <t>고용보험</t>
    <phoneticPr fontId="22" type="noConversion"/>
  </si>
  <si>
    <t>산재 및 고용보험</t>
    <phoneticPr fontId="22" type="noConversion"/>
  </si>
  <si>
    <t>내용</t>
    <phoneticPr fontId="22" type="noConversion"/>
  </si>
  <si>
    <t>코드</t>
    <phoneticPr fontId="22" type="noConversion"/>
  </si>
  <si>
    <t>이직사유</t>
    <phoneticPr fontId="22" type="noConversion"/>
  </si>
  <si>
    <t>회사의 사정에 의한 이직 - 폐업, 공사중단, 공사종료, 계약기간 만료 등</t>
    <phoneticPr fontId="22" type="noConversion"/>
  </si>
  <si>
    <t>부득이한 개인 사정에 의한 이직 - 질병, 부상, 출산 등</t>
    <phoneticPr fontId="22" type="noConversion"/>
  </si>
  <si>
    <t>기타 개인사정에 의한 이직 - 전직, 자영업을 위한 이직 등</t>
    <phoneticPr fontId="22" type="noConversion"/>
  </si>
  <si>
    <t>H-2-91</t>
    <phoneticPr fontId="7" type="noConversion"/>
  </si>
  <si>
    <t xml:space="preserve">기타방취 </t>
    <phoneticPr fontId="7" type="noConversion"/>
  </si>
  <si>
    <t>기타(자격변경자포함)</t>
    <phoneticPr fontId="7" type="noConversion"/>
  </si>
  <si>
    <t>체류자격</t>
    <phoneticPr fontId="1" type="noConversion"/>
  </si>
  <si>
    <t>보수지급기초일수</t>
    <phoneticPr fontId="1" type="noConversion"/>
  </si>
  <si>
    <t>임금총액</t>
    <phoneticPr fontId="1" type="noConversion"/>
  </si>
  <si>
    <t>일평균
근로시간</t>
    <phoneticPr fontId="1" type="noConversion"/>
  </si>
  <si>
    <t>보수지급
기초일수</t>
    <phoneticPr fontId="1" type="noConversion"/>
  </si>
  <si>
    <t>근로자의 국적코드 (국적코드표 참조)</t>
    <phoneticPr fontId="1" type="noConversion"/>
  </si>
  <si>
    <t>체류자격코드 시트 참조("-" 제외)</t>
    <phoneticPr fontId="1" type="noConversion"/>
  </si>
  <si>
    <t>지역번호 (휴대폰의 경우 01x)</t>
    <phoneticPr fontId="1" type="noConversion"/>
  </si>
  <si>
    <t>국번</t>
    <phoneticPr fontId="1" type="noConversion"/>
  </si>
  <si>
    <t>전화번호 뒷자리</t>
    <phoneticPr fontId="1" type="noConversion"/>
  </si>
  <si>
    <t>근로한 날짜에 "1" 기재</t>
    <phoneticPr fontId="1" type="noConversion"/>
  </si>
  <si>
    <t>13자리 숫자만 적습니다.("-" 제외)</t>
    <phoneticPr fontId="1" type="noConversion"/>
  </si>
  <si>
    <t>한달간 근로한 일 수</t>
    <phoneticPr fontId="1" type="noConversion"/>
  </si>
  <si>
    <t>일평균근로시간</t>
    <phoneticPr fontId="1" type="noConversion"/>
  </si>
  <si>
    <t>"소득세법" 제20조에 따른 근로소득에서 같은 법 제12조제3호에 따른 비과세 근로소득을 뺀 금액으로서, 
  해당 월에 발생된 금액</t>
    <phoneticPr fontId="1" type="noConversion"/>
  </si>
  <si>
    <t>"근로기준법" 제2조에 따른 임금으로서, 해당 월에 발생된 금액 기재</t>
    <phoneticPr fontId="1" type="noConversion"/>
  </si>
  <si>
    <r>
      <t xml:space="preserve">고용보험, 산재보험 구분
- 1 : 산재보험
- 3 : 고용보험 
- 5 : 산재,고용보험 
</t>
    </r>
    <r>
      <rPr>
        <b/>
        <sz val="10"/>
        <color rgb="FFFF0000"/>
        <rFont val="맑은 고딕"/>
        <family val="3"/>
        <charset val="129"/>
      </rPr>
      <t xml:space="preserve">* 보험구분이 1번인 경우(산재보험만 신고하는 경우) : 음영 표시된 항목만 작성하시기 바랍니다.
</t>
    </r>
    <r>
      <rPr>
        <b/>
        <sz val="10"/>
        <color indexed="53"/>
        <rFont val="맑은 고딕"/>
        <family val="3"/>
        <charset val="129"/>
      </rPr>
      <t>* 토탈서비스 이용이 아닌 전자매체신고(CD)의 경우 산재보험만 신고 가능합니다.</t>
    </r>
    <phoneticPr fontId="1" type="noConversion"/>
  </si>
  <si>
    <r>
      <t xml:space="preserve">1. 회사의 사정에 의한 이직 (폐업, 공사중단, 공사종료, 계약기간 만료 등)
2. 부득이한 개인 사정에 의한 이직 (질병ㆍ부상, 출산 등)
3. 기타 개인사정에 의한 이직 (전직, 자영업을 위한 이직 등)
</t>
    </r>
    <r>
      <rPr>
        <b/>
        <sz val="10"/>
        <color rgb="FFFF0000"/>
        <rFont val="맑은 고딕"/>
        <family val="3"/>
        <charset val="129"/>
        <scheme val="minor"/>
      </rPr>
      <t>* 보험구분이 3 또는 5인 경우(고용보험 신고하는 경우) : 이직사유코드를 적습니다.(필수값)</t>
    </r>
    <phoneticPr fontId="1" type="noConversion"/>
  </si>
  <si>
    <t>보험료 부과구분 부호를 참고하여 해당자만 기재</t>
    <phoneticPr fontId="1" type="noConversion"/>
  </si>
  <si>
    <t>보험료 부과구분 부호를 참고하여 해당자만 기재</t>
    <phoneticPr fontId="1" type="noConversion"/>
  </si>
  <si>
    <t>※ 21 ~ 25 항목에 대한 궁금한 사항은 국세청(국번없이 126번)으로 문의하시기 바랍니다.</t>
    <phoneticPr fontId="1" type="noConversion"/>
  </si>
  <si>
    <r>
      <t>"</t>
    </r>
    <r>
      <rPr>
        <sz val="10"/>
        <color indexed="8"/>
        <rFont val="맑은 고딕"/>
        <family val="3"/>
        <charset val="129"/>
      </rPr>
      <t xml:space="preserve">지급월"은 일용근로자에게 급여를 지급한 월(12월 말일까지 미지급한 금액은 12월)을 적습니다. </t>
    </r>
    <phoneticPr fontId="1" type="noConversion"/>
  </si>
  <si>
    <t>"지급월" 항목이 
기재되지 않으면
국세청으로 
전송되지 
않습니다.
(나머지 항목은
미기재시 
0원신고로
전송됨에 유의)</t>
    <phoneticPr fontId="1" type="noConversion"/>
  </si>
  <si>
    <t>http://www.4insure.or.kr/pbiz/cmmn/selectComCdList.do?comCdClsfId=A151</t>
  </si>
  <si>
    <t>http://www.4insure.or.kr/pbiz/cmmn/selectComCdList.do?comCdClsfId=D108</t>
  </si>
  <si>
    <t>http://www.4insure.or.kr/pbiz/cmmn/selectComCdList.do?comCdClsfId=C201</t>
  </si>
  <si>
    <t>한국고용직업분류(KECO, 2025) 중 소분류(140개) 직종현황 참고하여 기재</t>
    <phoneticPr fontId="1" type="noConversion"/>
  </si>
  <si>
    <t>E-9-9</t>
    <phoneticPr fontId="7" type="noConversion"/>
  </si>
  <si>
    <t>임업</t>
    <phoneticPr fontId="1" type="noConversion"/>
  </si>
  <si>
    <t>E-9-10</t>
    <phoneticPr fontId="7" type="noConversion"/>
  </si>
  <si>
    <t>광업</t>
    <phoneticPr fontId="1" type="noConversion"/>
  </si>
  <si>
    <t xml:space="preserve"> 비전문취업임업종사자</t>
    <phoneticPr fontId="1" type="noConversion"/>
  </si>
  <si>
    <t xml:space="preserve"> 비전문취업광업종사자</t>
    <phoneticPr fontId="1" type="noConversion"/>
  </si>
  <si>
    <t>8</t>
    <phoneticPr fontId="1" type="noConversion"/>
  </si>
  <si>
    <t>F-3-18</t>
    <phoneticPr fontId="7" type="noConversion"/>
  </si>
  <si>
    <t>F-3-19</t>
    <phoneticPr fontId="7" type="noConversion"/>
  </si>
  <si>
    <t>F-3-20</t>
    <phoneticPr fontId="7" type="noConversion"/>
  </si>
  <si>
    <t>F27가족90일동반</t>
    <phoneticPr fontId="7" type="noConversion"/>
  </si>
  <si>
    <t>F4가족1년동반</t>
    <phoneticPr fontId="7" type="noConversion"/>
  </si>
  <si>
    <t>H2가족1년동반</t>
    <phoneticPr fontId="7" type="noConversion"/>
  </si>
  <si>
    <t>재외동포(F-4) 자격을 취득한 자의 가족에 대한 1년간 유효한 동반 복수사증</t>
    <phoneticPr fontId="7" type="noConversion"/>
  </si>
  <si>
    <t>방문취업(H-2) 자격을 취득한 자의 가족에 대한 1년간 유효한 동반 복수사증</t>
    <phoneticPr fontId="7" type="noConversion"/>
  </si>
  <si>
    <t>점수제 우수인재(F-2-7)의 배우자 및 미성년자녀에 대한 90일간 유효한 단수사증</t>
    <phoneticPr fontId="7" type="noConversion"/>
  </si>
  <si>
    <t>202504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</si>
</sst>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_);[Red]\(0\)"/>
  </numFmts>
  <fonts count="2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indexed="53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5" fillId="0" borderId="0" xfId="0" applyFont="1">
      <alignment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9" fillId="0" borderId="1" xfId="0" applyFont="1" applyBorder="1" applyAlignment="1">
      <alignment horizontal="justify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>
      <alignment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 wrapText="1"/>
    </xf>
    <xf numFmtId="49" fontId="10" fillId="2" borderId="1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49" fontId="13" fillId="0" borderId="1" xfId="0" applyNumberFormat="1" applyFont="1" applyBorder="1">
      <alignment vertical="center"/>
    </xf>
    <xf numFmtId="49" fontId="13" fillId="0" borderId="1" xfId="0" applyNumberFormat="1" applyFont="1" applyBorder="1" applyAlignment="1">
      <alignment vertical="center" wrapText="1"/>
    </xf>
    <xf numFmtId="49" fontId="14" fillId="0" borderId="1" xfId="0" applyNumberFormat="1" applyFont="1" applyBorder="1">
      <alignment vertical="center"/>
    </xf>
    <xf numFmtId="49" fontId="14" fillId="0" borderId="2" xfId="0" applyNumberFormat="1" applyFont="1" applyBorder="1">
      <alignment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/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49" fontId="13" fillId="0" borderId="1" xfId="0" quotePrefix="1" applyNumberFormat="1" applyFont="1" applyBorder="1">
      <alignment vertical="center"/>
    </xf>
    <xf numFmtId="49" fontId="13" fillId="0" borderId="1" xfId="0" quotePrefix="1" applyNumberFormat="1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7" fillId="2" borderId="1" xfId="1" applyFont="1" applyFill="1" applyBorder="1" applyAlignment="1">
      <alignment horizontal="center" vertical="center"/>
    </xf>
    <xf numFmtId="176" fontId="17" fillId="2" borderId="1" xfId="1" applyNumberFormat="1" applyFont="1" applyFill="1" applyBorder="1" applyAlignment="1">
      <alignment horizontal="center" vertical="center"/>
    </xf>
    <xf numFmtId="177" fontId="17" fillId="2" borderId="1" xfId="1" applyNumberFormat="1" applyFont="1" applyFill="1" applyBorder="1" applyAlignment="1">
      <alignment horizontal="center" vertical="center"/>
    </xf>
    <xf numFmtId="49" fontId="17" fillId="0" borderId="1" xfId="1" applyNumberFormat="1" applyFont="1" applyBorder="1" applyAlignment="1">
      <alignment horizontal="center" vertical="center"/>
    </xf>
    <xf numFmtId="177" fontId="17" fillId="0" borderId="1" xfId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4" fillId="0" borderId="0" xfId="0" applyNumberFormat="1" applyFont="1">
      <alignment vertical="center"/>
    </xf>
    <xf numFmtId="0" fontId="9" fillId="6" borderId="1" xfId="0" applyFont="1" applyFill="1" applyBorder="1" applyAlignment="1">
      <alignment horizontal="justify" vertical="center"/>
    </xf>
    <xf numFmtId="0" fontId="13" fillId="6" borderId="1" xfId="0" applyFont="1" applyFill="1" applyBorder="1" applyAlignment="1">
      <alignment horizontal="center" vertical="center"/>
    </xf>
    <xf numFmtId="177" fontId="17" fillId="6" borderId="1" xfId="1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49" fontId="23" fillId="0" borderId="1" xfId="0" applyNumberFormat="1" applyFont="1" applyBorder="1">
      <alignment vertical="center"/>
    </xf>
    <xf numFmtId="49" fontId="25" fillId="6" borderId="0" xfId="2" applyNumberFormat="1" applyFill="1"/>
    <xf numFmtId="49" fontId="27" fillId="6" borderId="0" xfId="2" applyNumberFormat="1" applyFont="1" applyFill="1"/>
    <xf numFmtId="0" fontId="27" fillId="6" borderId="0" xfId="2" applyFont="1" applyFill="1"/>
    <xf numFmtId="49" fontId="27" fillId="6" borderId="1" xfId="3" applyNumberFormat="1" applyFont="1" applyFill="1" applyBorder="1" applyAlignment="1" applyProtection="1"/>
    <xf numFmtId="0" fontId="0" fillId="0" borderId="1" xfId="0" applyBorder="1">
      <alignment vertical="center"/>
    </xf>
    <xf numFmtId="0" fontId="12" fillId="0" borderId="0" xfId="0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49" fontId="10" fillId="2" borderId="6" xfId="1" applyNumberFormat="1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">
    <cellStyle name="표준" xfId="0" builtinId="0"/>
    <cellStyle name="표준 2" xfId="2"/>
    <cellStyle name="표준_작성예" xfId="1"/>
    <cellStyle name="하이퍼링크 2" xf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OneDrive/&#50629;&#47924;/2024/_&#47588;&#50900;&#51221;&#44592;&#50629;&#47924;/6.&#51068;&#50857;&#51649;4&#45824;&#48372;&#54744;/&#44540;&#47196;&#45236;&#50669;&#54869;&#51064;&#49888;&#44256;/&#44540;&#47196;&#45236;&#50857;&#51088;&#46041;&#5486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근무일표(자동화)"/>
      <sheetName val="근무일표연동"/>
      <sheetName val="금월 근로소득(데이터)"/>
      <sheetName val="근로내역신고서(작성)"/>
      <sheetName val=" "/>
      <sheetName val="일용주민번호"/>
    </sheetNames>
    <sheetDataSet>
      <sheetData sheetId="0">
        <row r="5">
          <cell r="B5" t="str">
            <v>서영란</v>
          </cell>
        </row>
        <row r="6">
          <cell r="B6" t="str">
            <v>남점숙</v>
          </cell>
        </row>
        <row r="7">
          <cell r="B7" t="str">
            <v>윤숙정</v>
          </cell>
        </row>
        <row r="8">
          <cell r="B8" t="str">
            <v>황윤석</v>
          </cell>
        </row>
        <row r="9">
          <cell r="B9" t="str">
            <v>문창순</v>
          </cell>
        </row>
        <row r="10">
          <cell r="B10" t="str">
            <v>남정옥</v>
          </cell>
        </row>
        <row r="11">
          <cell r="B11" t="str">
            <v>강현승</v>
          </cell>
        </row>
        <row r="12">
          <cell r="B12" t="str">
            <v>임서진</v>
          </cell>
        </row>
        <row r="13">
          <cell r="B13" t="str">
            <v>황윤서</v>
          </cell>
        </row>
        <row r="14">
          <cell r="B14" t="str">
            <v>서미란</v>
          </cell>
        </row>
        <row r="15">
          <cell r="B15" t="str">
            <v>김광훈</v>
          </cell>
        </row>
        <row r="16">
          <cell r="B16" t="str">
            <v>장옥연</v>
          </cell>
        </row>
        <row r="17">
          <cell r="B17" t="str">
            <v>이성준</v>
          </cell>
        </row>
        <row r="18">
          <cell r="B18" t="str">
            <v>이양산</v>
          </cell>
        </row>
        <row r="19">
          <cell r="B19" t="str">
            <v>정옥선</v>
          </cell>
        </row>
        <row r="20">
          <cell r="B20" t="str">
            <v>권기남</v>
          </cell>
        </row>
        <row r="21">
          <cell r="B21" t="str">
            <v>손보경</v>
          </cell>
        </row>
        <row r="22">
          <cell r="B22" t="str">
            <v>유도온</v>
          </cell>
        </row>
        <row r="23">
          <cell r="B23" t="str">
            <v>김미진</v>
          </cell>
        </row>
        <row r="24">
          <cell r="B24" t="str">
            <v>강정분</v>
          </cell>
        </row>
        <row r="25">
          <cell r="B25" t="str">
            <v>정건아</v>
          </cell>
        </row>
        <row r="26">
          <cell r="B26" t="str">
            <v>정춘희</v>
          </cell>
        </row>
        <row r="27">
          <cell r="B27" t="str">
            <v>임정현</v>
          </cell>
        </row>
        <row r="28">
          <cell r="B28" t="str">
            <v>조용조</v>
          </cell>
        </row>
        <row r="29">
          <cell r="B29" t="str">
            <v>용재선</v>
          </cell>
        </row>
        <row r="30">
          <cell r="B30" t="str">
            <v>이재민</v>
          </cell>
        </row>
        <row r="31">
          <cell r="B31" t="str">
            <v>김혜성</v>
          </cell>
        </row>
        <row r="32">
          <cell r="B32" t="str">
            <v>백한순</v>
          </cell>
        </row>
        <row r="33">
          <cell r="B33" t="str">
            <v>권귀현</v>
          </cell>
        </row>
        <row r="34">
          <cell r="B34" t="str">
            <v>조보람</v>
          </cell>
        </row>
        <row r="35">
          <cell r="B35" t="str">
            <v>최경희</v>
          </cell>
        </row>
        <row r="36">
          <cell r="B36" t="str">
            <v>정세영</v>
          </cell>
        </row>
        <row r="37">
          <cell r="B37" t="str">
            <v>구한길</v>
          </cell>
        </row>
        <row r="38">
          <cell r="B38" t="str">
            <v>오대현</v>
          </cell>
        </row>
        <row r="39">
          <cell r="B39" t="str">
            <v>최연재</v>
          </cell>
        </row>
        <row r="40">
          <cell r="B40" t="str">
            <v>정나경</v>
          </cell>
        </row>
        <row r="41">
          <cell r="B41" t="str">
            <v>김강민</v>
          </cell>
        </row>
        <row r="42">
          <cell r="B42" t="str">
            <v>박지언</v>
          </cell>
        </row>
        <row r="43">
          <cell r="B43" t="str">
            <v>최영석</v>
          </cell>
        </row>
        <row r="44">
          <cell r="B44" t="str">
            <v>배영희</v>
          </cell>
        </row>
        <row r="45">
          <cell r="B45" t="str">
            <v>김훈종</v>
          </cell>
        </row>
        <row r="46">
          <cell r="B46" t="str">
            <v>주성민</v>
          </cell>
        </row>
        <row r="47">
          <cell r="B47" t="str">
            <v>김규은</v>
          </cell>
        </row>
        <row r="48">
          <cell r="B48" t="str">
            <v>박수종</v>
          </cell>
        </row>
        <row r="49">
          <cell r="B49" t="str">
            <v>이혜진</v>
          </cell>
        </row>
        <row r="50">
          <cell r="B50" t="str">
            <v>이승효</v>
          </cell>
        </row>
        <row r="51">
          <cell r="B51" t="str">
            <v>김민수</v>
          </cell>
        </row>
        <row r="52">
          <cell r="B52" t="str">
            <v>남지은</v>
          </cell>
        </row>
        <row r="53">
          <cell r="B53" t="str">
            <v>문효정</v>
          </cell>
        </row>
        <row r="54">
          <cell r="B54" t="str">
            <v>권유한</v>
          </cell>
        </row>
        <row r="55">
          <cell r="B55" t="str">
            <v>이재훈</v>
          </cell>
        </row>
        <row r="56">
          <cell r="B56" t="str">
            <v>권주한</v>
          </cell>
        </row>
        <row r="57">
          <cell r="B57" t="str">
            <v>이정아</v>
          </cell>
        </row>
        <row r="58">
          <cell r="B58" t="str">
            <v>이미화</v>
          </cell>
        </row>
        <row r="59">
          <cell r="B59" t="str">
            <v>김민준</v>
          </cell>
        </row>
        <row r="60">
          <cell r="B60" t="str">
            <v>허윤지</v>
          </cell>
        </row>
        <row r="61">
          <cell r="B61" t="str">
            <v>조서현</v>
          </cell>
        </row>
      </sheetData>
      <sheetData sheetId="1"/>
      <sheetData sheetId="2"/>
      <sheetData sheetId="3"/>
      <sheetData sheetId="4"/>
      <sheetData sheetId="5">
        <row r="1">
          <cell r="A1" t="str">
            <v>이름</v>
          </cell>
          <cell r="B1" t="str">
            <v>주민번호</v>
          </cell>
        </row>
        <row r="2">
          <cell r="A2" t="str">
            <v>감현정</v>
          </cell>
          <cell r="B2" t="str">
            <v>7802262908312</v>
          </cell>
        </row>
        <row r="3">
          <cell r="A3" t="str">
            <v>강금의</v>
          </cell>
          <cell r="B3" t="str">
            <v>5809012850713</v>
          </cell>
        </row>
        <row r="4">
          <cell r="A4" t="str">
            <v>강동진</v>
          </cell>
          <cell r="B4" t="str">
            <v>9201141682910</v>
          </cell>
        </row>
        <row r="5">
          <cell r="A5" t="str">
            <v>강미란</v>
          </cell>
          <cell r="B5" t="str">
            <v>6611182822816</v>
          </cell>
        </row>
        <row r="6">
          <cell r="A6" t="str">
            <v>강부근</v>
          </cell>
          <cell r="B6" t="str">
            <v>6208121346415</v>
          </cell>
        </row>
        <row r="7">
          <cell r="A7" t="str">
            <v>강세연</v>
          </cell>
          <cell r="B7" t="str">
            <v>9401282822611</v>
          </cell>
        </row>
        <row r="8">
          <cell r="A8" t="str">
            <v>강세희</v>
          </cell>
          <cell r="B8" t="str">
            <v>8907262683116</v>
          </cell>
        </row>
        <row r="9">
          <cell r="A9" t="str">
            <v>고나윤</v>
          </cell>
          <cell r="B9" t="str">
            <v>9207092055915</v>
          </cell>
        </row>
        <row r="10">
          <cell r="A10" t="str">
            <v>고남숙</v>
          </cell>
          <cell r="B10" t="str">
            <v>5711302342214</v>
          </cell>
        </row>
        <row r="11">
          <cell r="A11" t="str">
            <v>구종선</v>
          </cell>
          <cell r="B11" t="str">
            <v>5702252912848</v>
          </cell>
        </row>
        <row r="12">
          <cell r="A12" t="str">
            <v>권민주</v>
          </cell>
          <cell r="B12" t="str">
            <v>5903242696817</v>
          </cell>
        </row>
        <row r="13">
          <cell r="A13" t="str">
            <v>권분임</v>
          </cell>
          <cell r="B13" t="str">
            <v>5803252772916</v>
          </cell>
        </row>
        <row r="14">
          <cell r="A14" t="str">
            <v>권은주</v>
          </cell>
          <cell r="B14" t="str">
            <v>8906292929710</v>
          </cell>
        </row>
        <row r="15">
          <cell r="A15" t="str">
            <v>권종옥</v>
          </cell>
          <cell r="B15" t="str">
            <v>6906162347927</v>
          </cell>
        </row>
        <row r="16">
          <cell r="A16" t="str">
            <v>김갑선</v>
          </cell>
          <cell r="B16" t="str">
            <v>6412262684611</v>
          </cell>
        </row>
        <row r="17">
          <cell r="A17" t="str">
            <v>김광훈</v>
          </cell>
          <cell r="B17" t="str">
            <v>5910101773413</v>
          </cell>
        </row>
        <row r="18">
          <cell r="A18" t="str">
            <v>김교순</v>
          </cell>
          <cell r="B18" t="str">
            <v>6309202018727</v>
          </cell>
        </row>
        <row r="19">
          <cell r="A19" t="str">
            <v>김나은</v>
          </cell>
          <cell r="B19" t="str">
            <v>9509272774516</v>
          </cell>
        </row>
        <row r="20">
          <cell r="A20" t="str">
            <v>김남준</v>
          </cell>
          <cell r="B20" t="str">
            <v>9901071113325</v>
          </cell>
        </row>
        <row r="21">
          <cell r="A21" t="str">
            <v>김남진</v>
          </cell>
          <cell r="B21" t="str">
            <v>8411251914219</v>
          </cell>
        </row>
        <row r="22">
          <cell r="A22" t="str">
            <v>김노을</v>
          </cell>
          <cell r="B22" t="str">
            <v>0405014686017</v>
          </cell>
        </row>
        <row r="23">
          <cell r="A23" t="str">
            <v>김대성</v>
          </cell>
          <cell r="B23" t="str">
            <v>0308103823316</v>
          </cell>
        </row>
        <row r="24">
          <cell r="A24" t="str">
            <v>김덕훈</v>
          </cell>
          <cell r="B24" t="str">
            <v>7510271703413</v>
          </cell>
        </row>
        <row r="25">
          <cell r="A25" t="str">
            <v>김동욱</v>
          </cell>
          <cell r="B25" t="str">
            <v>0101113220250</v>
          </cell>
        </row>
        <row r="26">
          <cell r="A26" t="str">
            <v>김동호</v>
          </cell>
          <cell r="B26" t="str">
            <v>9701041770611</v>
          </cell>
        </row>
        <row r="27">
          <cell r="A27" t="str">
            <v>김명희</v>
          </cell>
          <cell r="B27" t="str">
            <v>5609182030926</v>
          </cell>
        </row>
        <row r="28">
          <cell r="A28" t="str">
            <v>김미경</v>
          </cell>
          <cell r="B28" t="str">
            <v>9502022743225</v>
          </cell>
        </row>
        <row r="29">
          <cell r="A29" t="str">
            <v>김미정</v>
          </cell>
          <cell r="B29" t="str">
            <v>7312202717713</v>
          </cell>
        </row>
        <row r="30">
          <cell r="A30" t="str">
            <v>김민서</v>
          </cell>
          <cell r="B30" t="str">
            <v>0011243076619</v>
          </cell>
        </row>
        <row r="31">
          <cell r="A31" t="str">
            <v>김민성</v>
          </cell>
          <cell r="B31" t="str">
            <v>9408041102016</v>
          </cell>
        </row>
        <row r="32">
          <cell r="A32" t="str">
            <v>김민영</v>
          </cell>
          <cell r="B32" t="str">
            <v>0503164903815</v>
          </cell>
        </row>
        <row r="33">
          <cell r="A33" t="str">
            <v>김민현</v>
          </cell>
          <cell r="B33" t="str">
            <v>9012292684811</v>
          </cell>
        </row>
        <row r="34">
          <cell r="A34" t="str">
            <v>김봉해</v>
          </cell>
          <cell r="B34" t="str">
            <v>5508132823811</v>
          </cell>
        </row>
        <row r="35">
          <cell r="A35" t="str">
            <v>김상협</v>
          </cell>
          <cell r="B35" t="str">
            <v>7703031019252</v>
          </cell>
        </row>
        <row r="36">
          <cell r="A36" t="str">
            <v>김선실</v>
          </cell>
          <cell r="B36" t="str">
            <v>6604172327019</v>
          </cell>
        </row>
        <row r="37">
          <cell r="A37" t="str">
            <v>김선희</v>
          </cell>
          <cell r="B37" t="str">
            <v>6111012114028</v>
          </cell>
        </row>
        <row r="38">
          <cell r="A38" t="str">
            <v>김성수</v>
          </cell>
          <cell r="B38" t="str">
            <v>9706161697915</v>
          </cell>
        </row>
        <row r="39">
          <cell r="A39" t="str">
            <v>김세옥</v>
          </cell>
          <cell r="B39" t="str">
            <v>6709052343511</v>
          </cell>
        </row>
        <row r="40">
          <cell r="A40" t="str">
            <v>김숙화</v>
          </cell>
          <cell r="B40" t="str">
            <v>8805172822211</v>
          </cell>
        </row>
        <row r="41">
          <cell r="A41" t="str">
            <v>김숙희</v>
          </cell>
          <cell r="B41" t="str">
            <v>6603122684429</v>
          </cell>
        </row>
        <row r="42">
          <cell r="A42" t="str">
            <v>김순연</v>
          </cell>
          <cell r="B42" t="str">
            <v>6408012889925</v>
          </cell>
        </row>
        <row r="43">
          <cell r="A43" t="str">
            <v>김승현</v>
          </cell>
          <cell r="B43" t="str">
            <v>0102183908229</v>
          </cell>
        </row>
        <row r="44">
          <cell r="A44" t="str">
            <v>김연순</v>
          </cell>
          <cell r="B44" t="str">
            <v>7703142928321</v>
          </cell>
        </row>
        <row r="45">
          <cell r="A45" t="str">
            <v>김영희</v>
          </cell>
          <cell r="B45" t="str">
            <v>7309112711016</v>
          </cell>
        </row>
        <row r="46">
          <cell r="A46" t="str">
            <v>김예슬</v>
          </cell>
          <cell r="B46" t="str">
            <v>0105064698315</v>
          </cell>
        </row>
        <row r="47">
          <cell r="A47" t="str">
            <v>김예찬</v>
          </cell>
          <cell r="B47" t="str">
            <v>9406171831229</v>
          </cell>
        </row>
        <row r="48">
          <cell r="A48" t="str">
            <v>김옥귀</v>
          </cell>
          <cell r="B48" t="str">
            <v>5710022905917</v>
          </cell>
        </row>
        <row r="49">
          <cell r="A49" t="str">
            <v>김우송</v>
          </cell>
          <cell r="B49" t="str">
            <v>9706091861623</v>
          </cell>
        </row>
        <row r="50">
          <cell r="A50" t="str">
            <v>김윤년</v>
          </cell>
          <cell r="B50" t="str">
            <v>5906262894810</v>
          </cell>
        </row>
        <row r="51">
          <cell r="A51" t="str">
            <v>김은경</v>
          </cell>
          <cell r="B51" t="str">
            <v>7509232928015</v>
          </cell>
        </row>
        <row r="52">
          <cell r="A52" t="str">
            <v>김은주</v>
          </cell>
          <cell r="B52" t="str">
            <v>7208152636435</v>
          </cell>
        </row>
        <row r="53">
          <cell r="A53" t="str">
            <v>김은지</v>
          </cell>
          <cell r="B53" t="str">
            <v>0412074865810</v>
          </cell>
        </row>
        <row r="54">
          <cell r="A54" t="str">
            <v>김은희</v>
          </cell>
          <cell r="B54" t="str">
            <v>7709182109618</v>
          </cell>
        </row>
        <row r="55">
          <cell r="A55" t="str">
            <v>김인숙</v>
          </cell>
          <cell r="B55" t="str">
            <v>5906072105516</v>
          </cell>
        </row>
        <row r="56">
          <cell r="A56" t="str">
            <v>김재형</v>
          </cell>
          <cell r="B56" t="str">
            <v>9302281703616</v>
          </cell>
        </row>
        <row r="57">
          <cell r="A57" t="str">
            <v>김점선</v>
          </cell>
          <cell r="B57" t="str">
            <v>6111232797914</v>
          </cell>
        </row>
        <row r="58">
          <cell r="A58" t="str">
            <v>김주현</v>
          </cell>
          <cell r="B58" t="str">
            <v>9306272684826</v>
          </cell>
        </row>
        <row r="59">
          <cell r="A59" t="str">
            <v>김준영</v>
          </cell>
          <cell r="B59" t="str">
            <v>9901201108813</v>
          </cell>
        </row>
        <row r="60">
          <cell r="A60" t="str">
            <v>김지애</v>
          </cell>
          <cell r="B60" t="str">
            <v>7509122122211</v>
          </cell>
        </row>
        <row r="61">
          <cell r="A61" t="str">
            <v>김지은</v>
          </cell>
          <cell r="B61" t="str">
            <v>7711072836010</v>
          </cell>
        </row>
        <row r="62">
          <cell r="A62" t="str">
            <v>김채은</v>
          </cell>
          <cell r="B62" t="str">
            <v>9505202770616</v>
          </cell>
        </row>
        <row r="63">
          <cell r="A63" t="str">
            <v>김춘해</v>
          </cell>
          <cell r="B63" t="str">
            <v>6104132038023</v>
          </cell>
        </row>
        <row r="64">
          <cell r="A64" t="str">
            <v>김혜리</v>
          </cell>
          <cell r="B64" t="str">
            <v>9505262798612</v>
          </cell>
        </row>
        <row r="65">
          <cell r="A65" t="str">
            <v>김혜영</v>
          </cell>
          <cell r="B65" t="str">
            <v>8412232823614</v>
          </cell>
        </row>
        <row r="66">
          <cell r="A66" t="str">
            <v>김혜지</v>
          </cell>
          <cell r="B66" t="str">
            <v>9811242111021</v>
          </cell>
        </row>
        <row r="67">
          <cell r="A67" t="str">
            <v>김혜진</v>
          </cell>
          <cell r="B67" t="str">
            <v>7604122917011</v>
          </cell>
        </row>
        <row r="68">
          <cell r="A68" t="str">
            <v>김호경</v>
          </cell>
          <cell r="B68" t="str">
            <v>6302182683239</v>
          </cell>
        </row>
        <row r="69">
          <cell r="A69" t="str">
            <v>김호진</v>
          </cell>
          <cell r="B69" t="str">
            <v>9804031902719</v>
          </cell>
        </row>
        <row r="70">
          <cell r="A70" t="str">
            <v>김효분</v>
          </cell>
          <cell r="B70" t="str">
            <v>5301282017615</v>
          </cell>
        </row>
        <row r="71">
          <cell r="A71" t="str">
            <v>남점숙</v>
          </cell>
          <cell r="B71" t="str">
            <v>6008182684328</v>
          </cell>
        </row>
        <row r="72">
          <cell r="A72" t="str">
            <v>남정옥</v>
          </cell>
          <cell r="B72" t="str">
            <v>5206042241317</v>
          </cell>
        </row>
        <row r="73">
          <cell r="A73" t="str">
            <v>노우정</v>
          </cell>
          <cell r="B73" t="str">
            <v>5510122929517</v>
          </cell>
        </row>
        <row r="74">
          <cell r="A74" t="str">
            <v>노은경</v>
          </cell>
          <cell r="B74" t="str">
            <v>7111182652921</v>
          </cell>
        </row>
        <row r="75">
          <cell r="A75" t="str">
            <v>도가민</v>
          </cell>
          <cell r="B75" t="str">
            <v>8007152797912</v>
          </cell>
        </row>
        <row r="76">
          <cell r="A76" t="str">
            <v>도재준</v>
          </cell>
          <cell r="B76" t="str">
            <v>8106251030518</v>
          </cell>
        </row>
        <row r="77">
          <cell r="A77" t="str">
            <v>도지훈</v>
          </cell>
          <cell r="B77" t="str">
            <v>9509091168212</v>
          </cell>
        </row>
        <row r="78">
          <cell r="A78" t="str">
            <v>문복순</v>
          </cell>
          <cell r="B78" t="str">
            <v>5804122908211</v>
          </cell>
        </row>
        <row r="79">
          <cell r="A79" t="str">
            <v>문지연</v>
          </cell>
          <cell r="B79" t="str">
            <v>9708052157214</v>
          </cell>
        </row>
        <row r="80">
          <cell r="A80" t="str">
            <v>문지현</v>
          </cell>
          <cell r="B80" t="str">
            <v>9306141853110</v>
          </cell>
        </row>
        <row r="81">
          <cell r="A81" t="str">
            <v>박가희</v>
          </cell>
          <cell r="B81" t="str">
            <v>9206142121615</v>
          </cell>
        </row>
        <row r="82">
          <cell r="A82" t="str">
            <v>박계옥</v>
          </cell>
          <cell r="B82" t="str">
            <v>7504152698418</v>
          </cell>
        </row>
        <row r="83">
          <cell r="A83" t="str">
            <v>박광범</v>
          </cell>
          <cell r="B83" t="str">
            <v>9810181110619</v>
          </cell>
        </row>
        <row r="84">
          <cell r="A84" t="str">
            <v>박기현</v>
          </cell>
          <cell r="B84" t="str">
            <v>0404213697312</v>
          </cell>
        </row>
        <row r="85">
          <cell r="A85" t="str">
            <v>박달순</v>
          </cell>
          <cell r="B85" t="str">
            <v>6208162120814</v>
          </cell>
        </row>
        <row r="86">
          <cell r="A86" t="str">
            <v>박미연</v>
          </cell>
          <cell r="B86" t="str">
            <v>6104012897332</v>
          </cell>
        </row>
        <row r="87">
          <cell r="A87" t="str">
            <v>박민재</v>
          </cell>
          <cell r="B87" t="str">
            <v>9210281055318</v>
          </cell>
        </row>
        <row r="88">
          <cell r="A88" t="str">
            <v>박성옥</v>
          </cell>
          <cell r="B88" t="str">
            <v>8503182849614</v>
          </cell>
        </row>
        <row r="89">
          <cell r="A89" t="str">
            <v>박세리</v>
          </cell>
          <cell r="B89" t="str">
            <v>8409282113634</v>
          </cell>
        </row>
        <row r="90">
          <cell r="A90" t="str">
            <v>박수빈</v>
          </cell>
          <cell r="B90" t="str">
            <v>7407102467023</v>
          </cell>
        </row>
        <row r="91">
          <cell r="A91" t="str">
            <v>박수현</v>
          </cell>
          <cell r="B91" t="str">
            <v>0107244860511</v>
          </cell>
        </row>
        <row r="92">
          <cell r="A92" t="str">
            <v>박슬기</v>
          </cell>
          <cell r="B92" t="str">
            <v>9209042214111</v>
          </cell>
        </row>
        <row r="93">
          <cell r="A93" t="str">
            <v>박재완</v>
          </cell>
          <cell r="B93" t="str">
            <v>8911281093111</v>
          </cell>
        </row>
        <row r="94">
          <cell r="A94" t="str">
            <v>박지수</v>
          </cell>
          <cell r="B94" t="str">
            <v>9506042865435</v>
          </cell>
        </row>
        <row r="95">
          <cell r="A95" t="str">
            <v>박지원</v>
          </cell>
          <cell r="B95" t="str">
            <v>0309033126531</v>
          </cell>
        </row>
        <row r="96">
          <cell r="A96" t="str">
            <v>박진모</v>
          </cell>
          <cell r="B96" t="str">
            <v>9304291110114</v>
          </cell>
        </row>
        <row r="97">
          <cell r="A97" t="str">
            <v>박찬제</v>
          </cell>
          <cell r="B97" t="str">
            <v>0012153685519</v>
          </cell>
        </row>
        <row r="98">
          <cell r="A98" t="str">
            <v>박철현</v>
          </cell>
          <cell r="B98" t="str">
            <v>9211061056320</v>
          </cell>
        </row>
        <row r="99">
          <cell r="A99" t="str">
            <v>박혜흠</v>
          </cell>
          <cell r="B99" t="str">
            <v>9805301850519</v>
          </cell>
        </row>
        <row r="100">
          <cell r="A100" t="str">
            <v>방태겸</v>
          </cell>
          <cell r="B100" t="str">
            <v>8812281163122</v>
          </cell>
        </row>
        <row r="101">
          <cell r="A101" t="str">
            <v>배석준</v>
          </cell>
          <cell r="B101" t="str">
            <v>9702201155327</v>
          </cell>
        </row>
        <row r="102">
          <cell r="A102" t="str">
            <v>배윤자</v>
          </cell>
          <cell r="B102" t="str">
            <v>6010032772611</v>
          </cell>
        </row>
        <row r="103">
          <cell r="A103" t="str">
            <v>배은비</v>
          </cell>
          <cell r="B103" t="str">
            <v>9801142697820</v>
          </cell>
        </row>
        <row r="104">
          <cell r="A104" t="str">
            <v>배점숙</v>
          </cell>
          <cell r="B104" t="str">
            <v>6705262798014</v>
          </cell>
        </row>
        <row r="105">
          <cell r="A105" t="str">
            <v>배희정</v>
          </cell>
          <cell r="B105" t="str">
            <v>7508052823212</v>
          </cell>
        </row>
        <row r="106">
          <cell r="A106" t="str">
            <v>백승자</v>
          </cell>
          <cell r="B106" t="str">
            <v>6210262772818</v>
          </cell>
        </row>
        <row r="107">
          <cell r="A107" t="str">
            <v>백이삭</v>
          </cell>
          <cell r="B107" t="str">
            <v>9611111095219</v>
          </cell>
        </row>
        <row r="108">
          <cell r="A108" t="str">
            <v>백종순</v>
          </cell>
          <cell r="B108" t="str">
            <v>5504022624521</v>
          </cell>
        </row>
        <row r="109">
          <cell r="A109" t="str">
            <v>백지훈</v>
          </cell>
          <cell r="B109" t="str">
            <v>8406231904214</v>
          </cell>
        </row>
        <row r="110">
          <cell r="A110" t="str">
            <v>사공무룡</v>
          </cell>
          <cell r="B110" t="str">
            <v>4903011696015</v>
          </cell>
        </row>
        <row r="111">
          <cell r="A111" t="str">
            <v>서명희</v>
          </cell>
          <cell r="B111" t="str">
            <v>9009272676213</v>
          </cell>
        </row>
        <row r="112">
          <cell r="A112" t="str">
            <v>서미란</v>
          </cell>
          <cell r="B112" t="str">
            <v>5412092684210</v>
          </cell>
        </row>
        <row r="113">
          <cell r="A113" t="str">
            <v>서범석</v>
          </cell>
          <cell r="B113" t="str">
            <v>8806141140713</v>
          </cell>
        </row>
        <row r="114">
          <cell r="A114" t="str">
            <v>서성윤</v>
          </cell>
          <cell r="B114" t="str">
            <v>9401271860223</v>
          </cell>
        </row>
        <row r="115">
          <cell r="A115" t="str">
            <v>서연화</v>
          </cell>
          <cell r="B115" t="str">
            <v>6511272892620</v>
          </cell>
        </row>
        <row r="116">
          <cell r="A116" t="str">
            <v>서점두</v>
          </cell>
          <cell r="B116" t="str">
            <v>5109232120615</v>
          </cell>
        </row>
        <row r="117">
          <cell r="A117" t="str">
            <v>서주연</v>
          </cell>
          <cell r="B117" t="str">
            <v>0109204822921</v>
          </cell>
        </row>
        <row r="118">
          <cell r="A118" t="str">
            <v>석민경</v>
          </cell>
          <cell r="B118" t="str">
            <v>0310144824313</v>
          </cell>
        </row>
        <row r="119">
          <cell r="A119" t="str">
            <v>손병준</v>
          </cell>
          <cell r="B119" t="str">
            <v>9812031122610</v>
          </cell>
        </row>
        <row r="120">
          <cell r="A120" t="str">
            <v>손유정</v>
          </cell>
          <cell r="B120" t="str">
            <v>7404102902218</v>
          </cell>
        </row>
        <row r="121">
          <cell r="A121" t="str">
            <v>손점선</v>
          </cell>
          <cell r="B121" t="str">
            <v>4801042927219</v>
          </cell>
        </row>
        <row r="122">
          <cell r="A122" t="str">
            <v>손정미</v>
          </cell>
          <cell r="B122" t="str">
            <v>7305272791913</v>
          </cell>
        </row>
        <row r="123">
          <cell r="A123" t="str">
            <v>손정하</v>
          </cell>
          <cell r="B123" t="str">
            <v>8010092902210</v>
          </cell>
        </row>
        <row r="124">
          <cell r="A124" t="str">
            <v>손필남</v>
          </cell>
          <cell r="B124" t="str">
            <v>5903212908311</v>
          </cell>
        </row>
        <row r="125">
          <cell r="A125" t="str">
            <v>송승용</v>
          </cell>
          <cell r="B125" t="str">
            <v>0308083842011</v>
          </cell>
        </row>
        <row r="126">
          <cell r="A126" t="str">
            <v>송영훈</v>
          </cell>
          <cell r="B126" t="str">
            <v>0002283683716</v>
          </cell>
        </row>
        <row r="127">
          <cell r="A127" t="str">
            <v>신미경</v>
          </cell>
          <cell r="B127" t="str">
            <v>6304192017619</v>
          </cell>
        </row>
        <row r="128">
          <cell r="A128" t="str">
            <v>신미영</v>
          </cell>
          <cell r="B128" t="str">
            <v>8209032127512</v>
          </cell>
        </row>
        <row r="129">
          <cell r="A129" t="str">
            <v>신승현</v>
          </cell>
          <cell r="B129" t="str">
            <v>0112084677010</v>
          </cell>
        </row>
        <row r="130">
          <cell r="A130" t="str">
            <v>신양희</v>
          </cell>
          <cell r="B130" t="str">
            <v>7910202684837</v>
          </cell>
        </row>
        <row r="131">
          <cell r="A131" t="str">
            <v>신영원</v>
          </cell>
          <cell r="B131" t="str">
            <v>8012031727012</v>
          </cell>
        </row>
        <row r="132">
          <cell r="A132" t="str">
            <v>신유진</v>
          </cell>
          <cell r="B132" t="str">
            <v>9105012906419</v>
          </cell>
        </row>
        <row r="133">
          <cell r="A133" t="str">
            <v>신은미</v>
          </cell>
          <cell r="B133" t="str">
            <v>7210262524320</v>
          </cell>
        </row>
        <row r="134">
          <cell r="A134" t="str">
            <v>신효섭</v>
          </cell>
          <cell r="B134" t="str">
            <v>9710111920512</v>
          </cell>
        </row>
        <row r="135">
          <cell r="A135" t="str">
            <v>심영민</v>
          </cell>
          <cell r="B135" t="str">
            <v>0302133861926</v>
          </cell>
        </row>
        <row r="136">
          <cell r="A136" t="str">
            <v>심창영</v>
          </cell>
          <cell r="B136" t="str">
            <v>8411161100718</v>
          </cell>
        </row>
        <row r="137">
          <cell r="A137" t="str">
            <v>안경순</v>
          </cell>
          <cell r="B137" t="str">
            <v>6103022823612</v>
          </cell>
        </row>
        <row r="138">
          <cell r="A138" t="str">
            <v>안다경</v>
          </cell>
          <cell r="B138" t="str">
            <v>0208214823421</v>
          </cell>
        </row>
        <row r="139">
          <cell r="A139" t="str">
            <v>안보성</v>
          </cell>
          <cell r="B139" t="str">
            <v>7008156200394</v>
          </cell>
        </row>
        <row r="140">
          <cell r="A140" t="str">
            <v>안소영</v>
          </cell>
          <cell r="B140" t="str">
            <v>9401172158011</v>
          </cell>
        </row>
        <row r="141">
          <cell r="A141" t="str">
            <v>양경희</v>
          </cell>
          <cell r="B141" t="str">
            <v>7109152095819</v>
          </cell>
        </row>
        <row r="142">
          <cell r="A142" t="str">
            <v>양영금</v>
          </cell>
          <cell r="B142" t="str">
            <v>4811092452623</v>
          </cell>
        </row>
        <row r="143">
          <cell r="A143" t="str">
            <v>양혜민</v>
          </cell>
          <cell r="B143" t="str">
            <v>8311252635330</v>
          </cell>
        </row>
        <row r="144">
          <cell r="A144" t="str">
            <v>오복순</v>
          </cell>
          <cell r="B144" t="str">
            <v>6012162902127</v>
          </cell>
        </row>
        <row r="145">
          <cell r="A145" t="str">
            <v>오복자</v>
          </cell>
          <cell r="B145" t="str">
            <v>5209162902110</v>
          </cell>
        </row>
        <row r="146">
          <cell r="A146" t="str">
            <v>오승준</v>
          </cell>
          <cell r="B146" t="str">
            <v>0302123676827</v>
          </cell>
        </row>
        <row r="147">
          <cell r="A147" t="str">
            <v>오지선</v>
          </cell>
          <cell r="B147" t="str">
            <v>7309072953410</v>
          </cell>
        </row>
        <row r="148">
          <cell r="A148" t="str">
            <v>우지원</v>
          </cell>
          <cell r="B148" t="str">
            <v>6402122683117</v>
          </cell>
        </row>
        <row r="149">
          <cell r="A149" t="str">
            <v>우태윤</v>
          </cell>
          <cell r="B149" t="str">
            <v>7602291386316</v>
          </cell>
        </row>
        <row r="150">
          <cell r="A150" t="str">
            <v>유명숙</v>
          </cell>
          <cell r="B150" t="str">
            <v>6111132802612</v>
          </cell>
        </row>
        <row r="151">
          <cell r="A151" t="str">
            <v>유성현</v>
          </cell>
          <cell r="B151" t="str">
            <v>9804171865418</v>
          </cell>
        </row>
        <row r="152">
          <cell r="A152" t="str">
            <v>유혜수</v>
          </cell>
          <cell r="B152" t="str">
            <v>9211272853814</v>
          </cell>
        </row>
        <row r="153">
          <cell r="A153" t="str">
            <v>윤봉순</v>
          </cell>
          <cell r="B153" t="str">
            <v>5404072670914</v>
          </cell>
        </row>
        <row r="154">
          <cell r="A154" t="str">
            <v>윤숙정</v>
          </cell>
          <cell r="B154" t="str">
            <v>7704032798615</v>
          </cell>
        </row>
        <row r="155">
          <cell r="A155" t="str">
            <v>윤현숙</v>
          </cell>
          <cell r="B155" t="str">
            <v>6503272812928</v>
          </cell>
        </row>
        <row r="156">
          <cell r="A156" t="str">
            <v>윤희광</v>
          </cell>
          <cell r="B156" t="str">
            <v>0001193803221</v>
          </cell>
        </row>
        <row r="157">
          <cell r="A157" t="str">
            <v>이가영</v>
          </cell>
          <cell r="B157" t="str">
            <v>7004092347829</v>
          </cell>
        </row>
        <row r="158">
          <cell r="A158" t="str">
            <v>이경숙</v>
          </cell>
          <cell r="B158" t="str">
            <v>6009032675710</v>
          </cell>
        </row>
        <row r="159">
          <cell r="A159" t="str">
            <v>이경아</v>
          </cell>
          <cell r="B159" t="str">
            <v>8001222114211</v>
          </cell>
        </row>
        <row r="160">
          <cell r="A160" t="str">
            <v>이경희</v>
          </cell>
          <cell r="B160" t="str">
            <v>6703032805527</v>
          </cell>
        </row>
        <row r="161">
          <cell r="A161" t="str">
            <v>이귀녀</v>
          </cell>
          <cell r="B161" t="str">
            <v>5508252889816</v>
          </cell>
        </row>
        <row r="162">
          <cell r="A162" t="str">
            <v>이기승</v>
          </cell>
          <cell r="B162" t="str">
            <v>0310103929912</v>
          </cell>
        </row>
        <row r="163">
          <cell r="A163" t="str">
            <v>이나영</v>
          </cell>
          <cell r="B163" t="str">
            <v>0105194697911</v>
          </cell>
        </row>
        <row r="164">
          <cell r="A164" t="str">
            <v>이동호</v>
          </cell>
          <cell r="B164" t="str">
            <v>0606063908210</v>
          </cell>
        </row>
        <row r="165">
          <cell r="A165" t="str">
            <v>이명옥</v>
          </cell>
          <cell r="B165" t="str">
            <v>5804022908217</v>
          </cell>
        </row>
        <row r="166">
          <cell r="A166" t="str">
            <v>이명진</v>
          </cell>
          <cell r="B166" t="str">
            <v>0005113697816</v>
          </cell>
        </row>
        <row r="167">
          <cell r="A167" t="str">
            <v>이미숙</v>
          </cell>
          <cell r="B167" t="str">
            <v>6709222794215</v>
          </cell>
        </row>
        <row r="168">
          <cell r="A168" t="str">
            <v>이미연</v>
          </cell>
          <cell r="B168" t="str">
            <v>8311102902016</v>
          </cell>
        </row>
        <row r="169">
          <cell r="A169" t="str">
            <v>이민석</v>
          </cell>
          <cell r="B169" t="str">
            <v>0203043821819</v>
          </cell>
        </row>
        <row r="170">
          <cell r="A170" t="str">
            <v>이상록</v>
          </cell>
          <cell r="B170" t="str">
            <v>9706091127616</v>
          </cell>
        </row>
        <row r="171">
          <cell r="A171" t="str">
            <v>이성준</v>
          </cell>
          <cell r="B171" t="str">
            <v>0312113798112</v>
          </cell>
        </row>
        <row r="172">
          <cell r="A172" t="str">
            <v>이세연</v>
          </cell>
          <cell r="B172" t="str">
            <v>9908302249421</v>
          </cell>
        </row>
        <row r="173">
          <cell r="A173" t="str">
            <v>이수현</v>
          </cell>
          <cell r="B173" t="str">
            <v>5311152815023</v>
          </cell>
        </row>
        <row r="174">
          <cell r="A174" t="str">
            <v>이수희</v>
          </cell>
          <cell r="B174" t="str">
            <v>9309032658914</v>
          </cell>
        </row>
        <row r="175">
          <cell r="A175" t="str">
            <v>이숙녀</v>
          </cell>
          <cell r="B175" t="str">
            <v>6102282927918</v>
          </cell>
        </row>
        <row r="176">
          <cell r="A176" t="str">
            <v>이숙희</v>
          </cell>
          <cell r="B176" t="str">
            <v>6206222121511</v>
          </cell>
        </row>
        <row r="177">
          <cell r="A177" t="str">
            <v>이순득</v>
          </cell>
          <cell r="B177" t="str">
            <v>6207182671012</v>
          </cell>
        </row>
        <row r="178">
          <cell r="A178" t="str">
            <v>이순옥</v>
          </cell>
          <cell r="B178" t="str">
            <v>7512052837011</v>
          </cell>
        </row>
        <row r="179">
          <cell r="A179" t="str">
            <v>이순자</v>
          </cell>
          <cell r="B179" t="str">
            <v>5208012009618</v>
          </cell>
        </row>
        <row r="180">
          <cell r="A180" t="str">
            <v>이순혜</v>
          </cell>
          <cell r="B180" t="str">
            <v>0307124798110</v>
          </cell>
        </row>
        <row r="181">
          <cell r="A181" t="str">
            <v>이양산</v>
          </cell>
          <cell r="B181" t="str">
            <v>5702012908221</v>
          </cell>
        </row>
        <row r="182">
          <cell r="A182" t="str">
            <v>이양숙</v>
          </cell>
          <cell r="B182" t="str">
            <v>6205172794211</v>
          </cell>
        </row>
        <row r="183">
          <cell r="A183" t="str">
            <v>이양좌</v>
          </cell>
          <cell r="B183" t="str">
            <v>5702012908215</v>
          </cell>
        </row>
        <row r="184">
          <cell r="A184" t="str">
            <v>이언아</v>
          </cell>
          <cell r="B184" t="str">
            <v>8312082906111</v>
          </cell>
        </row>
        <row r="185">
          <cell r="A185" t="str">
            <v>이연원</v>
          </cell>
          <cell r="B185" t="str">
            <v>7002132683515</v>
          </cell>
        </row>
        <row r="186">
          <cell r="A186" t="str">
            <v>이완서</v>
          </cell>
          <cell r="B186" t="str">
            <v>9411102106711</v>
          </cell>
        </row>
        <row r="187">
          <cell r="A187" t="str">
            <v>이웅진</v>
          </cell>
          <cell r="B187" t="str">
            <v>9704301797822</v>
          </cell>
        </row>
        <row r="188">
          <cell r="A188" t="str">
            <v>이원재</v>
          </cell>
          <cell r="B188" t="str">
            <v>0002103920611</v>
          </cell>
        </row>
        <row r="189">
          <cell r="A189" t="str">
            <v>이은주</v>
          </cell>
          <cell r="B189" t="str">
            <v>7611102673921</v>
          </cell>
        </row>
        <row r="190">
          <cell r="A190" t="str">
            <v>이은희</v>
          </cell>
          <cell r="B190" t="str">
            <v>7104102830011</v>
          </cell>
        </row>
        <row r="191">
          <cell r="A191" t="str">
            <v>이재완</v>
          </cell>
          <cell r="B191" t="str">
            <v>0007113698216</v>
          </cell>
        </row>
        <row r="192">
          <cell r="A192" t="str">
            <v>이정란</v>
          </cell>
          <cell r="B192" t="str">
            <v>7705142581211</v>
          </cell>
        </row>
        <row r="193">
          <cell r="A193" t="str">
            <v>이정민</v>
          </cell>
          <cell r="B193" t="str">
            <v>9607182031813</v>
          </cell>
        </row>
        <row r="194">
          <cell r="A194" t="str">
            <v>이종숙</v>
          </cell>
          <cell r="B194" t="str">
            <v>6811192229029</v>
          </cell>
        </row>
        <row r="195">
          <cell r="A195" t="str">
            <v>이지아</v>
          </cell>
          <cell r="B195" t="str">
            <v>0006034696318</v>
          </cell>
        </row>
        <row r="196">
          <cell r="A196" t="str">
            <v>이지안(64)</v>
          </cell>
          <cell r="B196" t="str">
            <v>6412052772811</v>
          </cell>
        </row>
        <row r="197">
          <cell r="A197" t="str">
            <v>이지안</v>
          </cell>
          <cell r="B197" t="str">
            <v>6907202774611</v>
          </cell>
        </row>
        <row r="198">
          <cell r="A198" t="str">
            <v>이지연</v>
          </cell>
          <cell r="B198" t="str">
            <v>0710154727818</v>
          </cell>
        </row>
        <row r="199">
          <cell r="A199" t="str">
            <v>이채윤</v>
          </cell>
          <cell r="B199" t="str">
            <v>8210022853119</v>
          </cell>
        </row>
        <row r="200">
          <cell r="A200" t="str">
            <v>이하리</v>
          </cell>
          <cell r="B200" t="str">
            <v>9309242214213</v>
          </cell>
        </row>
        <row r="201">
          <cell r="A201" t="str">
            <v>이학민</v>
          </cell>
          <cell r="B201" t="str">
            <v>6810141841817</v>
          </cell>
        </row>
        <row r="202">
          <cell r="A202" t="str">
            <v>이해정</v>
          </cell>
          <cell r="B202" t="str">
            <v>7103032684115</v>
          </cell>
        </row>
        <row r="203">
          <cell r="A203" t="str">
            <v>이현정</v>
          </cell>
          <cell r="B203" t="str">
            <v>7412152822221</v>
          </cell>
        </row>
        <row r="204">
          <cell r="A204" t="str">
            <v>이호준</v>
          </cell>
          <cell r="B204" t="str">
            <v>0101263798119</v>
          </cell>
        </row>
        <row r="205">
          <cell r="A205" t="str">
            <v>이화백</v>
          </cell>
          <cell r="B205" t="str">
            <v>5011192113611</v>
          </cell>
        </row>
        <row r="206">
          <cell r="A206" t="str">
            <v>이효준</v>
          </cell>
          <cell r="B206" t="str">
            <v>0311293698311</v>
          </cell>
        </row>
        <row r="207">
          <cell r="A207" t="str">
            <v>임광열</v>
          </cell>
          <cell r="B207" t="str">
            <v>0101023481815</v>
          </cell>
        </row>
        <row r="208">
          <cell r="A208" t="str">
            <v>임서진</v>
          </cell>
          <cell r="B208" t="str">
            <v>0811143905913</v>
          </cell>
        </row>
        <row r="209">
          <cell r="A209" t="str">
            <v>임정희</v>
          </cell>
          <cell r="B209" t="str">
            <v>6401312670310</v>
          </cell>
        </row>
        <row r="210">
          <cell r="A210" t="str">
            <v>장민찬</v>
          </cell>
          <cell r="B210" t="str">
            <v>0006263685533</v>
          </cell>
        </row>
        <row r="211">
          <cell r="A211" t="str">
            <v>장선호</v>
          </cell>
          <cell r="B211" t="str">
            <v>9404121048219</v>
          </cell>
        </row>
        <row r="212">
          <cell r="A212" t="str">
            <v>장성준</v>
          </cell>
          <cell r="B212" t="str">
            <v>8107051806614</v>
          </cell>
        </row>
        <row r="213">
          <cell r="A213" t="str">
            <v>장순전</v>
          </cell>
          <cell r="B213" t="str">
            <v>5808282695611</v>
          </cell>
        </row>
        <row r="214">
          <cell r="A214" t="str">
            <v>장옥연</v>
          </cell>
          <cell r="B214" t="str">
            <v>6102192322012</v>
          </cell>
        </row>
        <row r="215">
          <cell r="A215" t="str">
            <v>장윤정</v>
          </cell>
          <cell r="B215" t="str">
            <v>6712012387014</v>
          </cell>
        </row>
        <row r="216">
          <cell r="A216" t="str">
            <v>장종진</v>
          </cell>
          <cell r="B216" t="str">
            <v>9812181837422</v>
          </cell>
        </row>
        <row r="217">
          <cell r="A217" t="str">
            <v>전구자</v>
          </cell>
          <cell r="B217" t="str">
            <v>5001162914915</v>
          </cell>
        </row>
        <row r="218">
          <cell r="A218" t="str">
            <v>전보경</v>
          </cell>
          <cell r="B218" t="str">
            <v>0011024095411</v>
          </cell>
        </row>
        <row r="219">
          <cell r="A219" t="str">
            <v>전수빈</v>
          </cell>
          <cell r="B219" t="str">
            <v>9804212326611</v>
          </cell>
        </row>
        <row r="220">
          <cell r="A220" t="str">
            <v>전승현</v>
          </cell>
          <cell r="B220" t="str">
            <v>0801123861240</v>
          </cell>
        </row>
        <row r="221">
          <cell r="A221" t="str">
            <v>전지우</v>
          </cell>
          <cell r="B221" t="str">
            <v>0312113731315</v>
          </cell>
        </row>
        <row r="222">
          <cell r="A222" t="str">
            <v>전혁</v>
          </cell>
          <cell r="B222" t="str">
            <v>6903261784114</v>
          </cell>
        </row>
        <row r="223">
          <cell r="A223" t="str">
            <v>전희재</v>
          </cell>
          <cell r="B223" t="str">
            <v>9112231120710</v>
          </cell>
        </row>
        <row r="224">
          <cell r="A224" t="str">
            <v>정가영</v>
          </cell>
          <cell r="B224" t="str">
            <v>0106094822821</v>
          </cell>
        </row>
        <row r="225">
          <cell r="A225" t="str">
            <v>정길자</v>
          </cell>
          <cell r="B225" t="str">
            <v>6211232902317</v>
          </cell>
        </row>
        <row r="226">
          <cell r="A226" t="str">
            <v>정다연</v>
          </cell>
          <cell r="B226" t="str">
            <v>9704222203116</v>
          </cell>
        </row>
        <row r="227">
          <cell r="A227" t="str">
            <v>정미지</v>
          </cell>
          <cell r="B227" t="str">
            <v>8810252122011</v>
          </cell>
        </row>
        <row r="228">
          <cell r="A228" t="str">
            <v>정서인</v>
          </cell>
          <cell r="B228" t="str">
            <v>6603062673829</v>
          </cell>
        </row>
        <row r="229">
          <cell r="A229" t="str">
            <v>정성민</v>
          </cell>
          <cell r="B229" t="str">
            <v>9412141358012</v>
          </cell>
        </row>
        <row r="230">
          <cell r="A230" t="str">
            <v>정세림</v>
          </cell>
          <cell r="B230" t="str">
            <v>0211114154814</v>
          </cell>
        </row>
        <row r="231">
          <cell r="A231" t="str">
            <v>정세윤</v>
          </cell>
          <cell r="B231" t="str">
            <v>9912062161819</v>
          </cell>
        </row>
        <row r="232">
          <cell r="A232" t="str">
            <v>정옥선</v>
          </cell>
          <cell r="B232" t="str">
            <v>5912052235616</v>
          </cell>
        </row>
        <row r="233">
          <cell r="A233" t="str">
            <v>정외자</v>
          </cell>
          <cell r="B233" t="str">
            <v>5203052906610</v>
          </cell>
        </row>
        <row r="234">
          <cell r="A234" t="str">
            <v>정은주</v>
          </cell>
          <cell r="B234" t="str">
            <v>6608132800510</v>
          </cell>
        </row>
        <row r="235">
          <cell r="A235" t="str">
            <v>정의황</v>
          </cell>
          <cell r="B235" t="str">
            <v>8504121683215</v>
          </cell>
        </row>
        <row r="236">
          <cell r="A236" t="str">
            <v>정재연</v>
          </cell>
          <cell r="B236" t="str">
            <v>8612211012416</v>
          </cell>
        </row>
        <row r="237">
          <cell r="A237" t="str">
            <v>정춘호</v>
          </cell>
          <cell r="B237" t="str">
            <v>9102221169814</v>
          </cell>
        </row>
        <row r="238">
          <cell r="A238" t="str">
            <v>정태훈</v>
          </cell>
          <cell r="B238" t="str">
            <v>0401103200519</v>
          </cell>
        </row>
        <row r="239">
          <cell r="A239" t="str">
            <v>조금연</v>
          </cell>
          <cell r="B239" t="str">
            <v>7208132771811</v>
          </cell>
        </row>
        <row r="240">
          <cell r="A240" t="str">
            <v>조기준</v>
          </cell>
          <cell r="B240" t="str">
            <v>9405181125818</v>
          </cell>
        </row>
        <row r="241">
          <cell r="A241" t="str">
            <v>조만환</v>
          </cell>
          <cell r="B241" t="str">
            <v>5305051683411</v>
          </cell>
        </row>
        <row r="242">
          <cell r="A242" t="str">
            <v>조민정</v>
          </cell>
          <cell r="B242" t="str">
            <v>9709142671010</v>
          </cell>
        </row>
        <row r="243">
          <cell r="A243" t="str">
            <v>조성민</v>
          </cell>
          <cell r="B243" t="str">
            <v>8411201824238</v>
          </cell>
        </row>
        <row r="244">
          <cell r="A244" t="str">
            <v>조아라</v>
          </cell>
          <cell r="B244" t="str">
            <v>8709192058820</v>
          </cell>
        </row>
        <row r="245">
          <cell r="A245" t="str">
            <v>조영수</v>
          </cell>
          <cell r="B245" t="str">
            <v>8906101081511</v>
          </cell>
        </row>
        <row r="246">
          <cell r="A246" t="str">
            <v>조해자</v>
          </cell>
          <cell r="B246" t="str">
            <v>5511122642918</v>
          </cell>
        </row>
        <row r="247">
          <cell r="A247" t="str">
            <v>주갑선</v>
          </cell>
          <cell r="B247" t="str">
            <v>8112302902219</v>
          </cell>
        </row>
        <row r="248">
          <cell r="A248" t="str">
            <v>주동찬</v>
          </cell>
          <cell r="B248" t="str">
            <v>8810191703011</v>
          </cell>
        </row>
        <row r="249">
          <cell r="A249" t="str">
            <v>주상기</v>
          </cell>
          <cell r="B249" t="str">
            <v>6001051902119</v>
          </cell>
        </row>
        <row r="250">
          <cell r="A250" t="str">
            <v>주세희</v>
          </cell>
          <cell r="B250" t="str">
            <v>9810082902116</v>
          </cell>
        </row>
        <row r="251">
          <cell r="A251" t="str">
            <v>주옥주</v>
          </cell>
          <cell r="B251" t="str">
            <v>7411012123110</v>
          </cell>
        </row>
        <row r="252">
          <cell r="A252" t="str">
            <v>지승환</v>
          </cell>
          <cell r="B252" t="str">
            <v>0305033550911</v>
          </cell>
        </row>
        <row r="253">
          <cell r="A253" t="str">
            <v>차동혁</v>
          </cell>
          <cell r="B253" t="str">
            <v>9910061824219</v>
          </cell>
        </row>
        <row r="254">
          <cell r="A254" t="str">
            <v>차승례</v>
          </cell>
          <cell r="B254" t="str">
            <v>7803012123711</v>
          </cell>
        </row>
        <row r="255">
          <cell r="A255" t="str">
            <v>최명순</v>
          </cell>
          <cell r="B255" t="str">
            <v>5201302120313</v>
          </cell>
        </row>
        <row r="256">
          <cell r="A256" t="str">
            <v>최민서</v>
          </cell>
          <cell r="B256" t="str">
            <v>0212184200614</v>
          </cell>
        </row>
        <row r="257">
          <cell r="A257" t="str">
            <v>최보영</v>
          </cell>
          <cell r="B257" t="str">
            <v>7709142674816</v>
          </cell>
        </row>
        <row r="258">
          <cell r="A258" t="str">
            <v>최성현</v>
          </cell>
          <cell r="B258" t="str">
            <v>9803201121027</v>
          </cell>
        </row>
        <row r="259">
          <cell r="A259" t="str">
            <v>최시은</v>
          </cell>
          <cell r="B259" t="str">
            <v>8801222121520</v>
          </cell>
        </row>
        <row r="260">
          <cell r="A260" t="str">
            <v>최예린</v>
          </cell>
          <cell r="B260" t="str">
            <v>0208024903811</v>
          </cell>
        </row>
        <row r="261">
          <cell r="A261" t="str">
            <v>최점식</v>
          </cell>
          <cell r="B261" t="str">
            <v>4812271908518</v>
          </cell>
        </row>
        <row r="262">
          <cell r="A262" t="str">
            <v>최정은</v>
          </cell>
          <cell r="B262" t="str">
            <v>7910072063129</v>
          </cell>
        </row>
        <row r="263">
          <cell r="A263" t="str">
            <v>최정희</v>
          </cell>
          <cell r="B263" t="str">
            <v>7009102691516</v>
          </cell>
        </row>
        <row r="264">
          <cell r="A264" t="str">
            <v>최진희</v>
          </cell>
          <cell r="B264" t="str">
            <v>7007172048018</v>
          </cell>
        </row>
        <row r="265">
          <cell r="A265" t="str">
            <v>최효리</v>
          </cell>
          <cell r="B265" t="str">
            <v>9911062692110</v>
          </cell>
        </row>
        <row r="266">
          <cell r="A266" t="str">
            <v>탁철규</v>
          </cell>
          <cell r="B266" t="str">
            <v>9610181108711</v>
          </cell>
        </row>
        <row r="267">
          <cell r="A267" t="str">
            <v>하승현</v>
          </cell>
          <cell r="B267" t="str">
            <v>8104101182917</v>
          </cell>
        </row>
        <row r="268">
          <cell r="A268" t="str">
            <v>하지수</v>
          </cell>
          <cell r="B268" t="str">
            <v>0512154122726</v>
          </cell>
        </row>
        <row r="269">
          <cell r="A269" t="str">
            <v>한정희</v>
          </cell>
          <cell r="B269" t="str">
            <v>6207092074119</v>
          </cell>
        </row>
        <row r="270">
          <cell r="A270" t="str">
            <v>한지혜</v>
          </cell>
          <cell r="B270" t="str">
            <v>9002242408710</v>
          </cell>
        </row>
        <row r="271">
          <cell r="A271" t="str">
            <v>허근영</v>
          </cell>
          <cell r="B271" t="str">
            <v>7604021110121</v>
          </cell>
        </row>
        <row r="272">
          <cell r="A272" t="str">
            <v>허인구</v>
          </cell>
          <cell r="B272" t="str">
            <v>5303161770516</v>
          </cell>
        </row>
        <row r="273">
          <cell r="A273" t="str">
            <v>허준우</v>
          </cell>
          <cell r="B273" t="str">
            <v>9705211113426</v>
          </cell>
        </row>
        <row r="274">
          <cell r="A274" t="str">
            <v>허지호</v>
          </cell>
          <cell r="B274" t="str">
            <v>0511293908227</v>
          </cell>
        </row>
        <row r="275">
          <cell r="A275" t="str">
            <v>호예찬</v>
          </cell>
          <cell r="B275" t="str">
            <v>0403203154918</v>
          </cell>
        </row>
        <row r="276">
          <cell r="A276" t="str">
            <v>홍영희</v>
          </cell>
          <cell r="B276" t="str">
            <v>6310282768210</v>
          </cell>
        </row>
        <row r="277">
          <cell r="A277" t="str">
            <v>홍인선</v>
          </cell>
          <cell r="B277" t="str">
            <v>9712311229013</v>
          </cell>
        </row>
        <row r="278">
          <cell r="A278" t="str">
            <v>황건주</v>
          </cell>
          <cell r="B278" t="str">
            <v>6111171011418</v>
          </cell>
        </row>
        <row r="279">
          <cell r="A279" t="str">
            <v>황서현</v>
          </cell>
          <cell r="B279" t="str">
            <v>0301084123419</v>
          </cell>
        </row>
        <row r="280">
          <cell r="A280" t="str">
            <v>황선희</v>
          </cell>
          <cell r="B280" t="str">
            <v>9004272126718</v>
          </cell>
        </row>
        <row r="281">
          <cell r="A281" t="str">
            <v>황순주</v>
          </cell>
          <cell r="B281" t="str">
            <v>5505052380517</v>
          </cell>
        </row>
        <row r="282">
          <cell r="A282" t="str">
            <v>황윤서</v>
          </cell>
          <cell r="B282" t="str">
            <v>0403154684918</v>
          </cell>
        </row>
        <row r="283">
          <cell r="A283" t="str">
            <v>황윤석</v>
          </cell>
          <cell r="B283" t="str">
            <v>9512161303319</v>
          </cell>
        </row>
        <row r="284">
          <cell r="A284" t="str">
            <v>황윤재</v>
          </cell>
          <cell r="B284" t="str">
            <v>0106064683818</v>
          </cell>
        </row>
        <row r="285">
          <cell r="A285" t="str">
            <v>황혜민</v>
          </cell>
          <cell r="B285" t="str">
            <v>9609142798513</v>
          </cell>
        </row>
        <row r="286">
          <cell r="A286" t="str">
            <v>김기림</v>
          </cell>
          <cell r="B286" t="str">
            <v>9709182124112</v>
          </cell>
        </row>
        <row r="287">
          <cell r="A287" t="str">
            <v>남진숙</v>
          </cell>
          <cell r="B287" t="str">
            <v>7204122774614</v>
          </cell>
        </row>
        <row r="288">
          <cell r="A288" t="str">
            <v>송혜선</v>
          </cell>
          <cell r="B288" t="str">
            <v>6310102674715</v>
          </cell>
        </row>
        <row r="289">
          <cell r="A289" t="str">
            <v>최봉용</v>
          </cell>
          <cell r="B289" t="str">
            <v>6608201453516</v>
          </cell>
        </row>
        <row r="290">
          <cell r="A290" t="str">
            <v>김누미</v>
          </cell>
          <cell r="B290" t="str">
            <v>6212282917315</v>
          </cell>
        </row>
        <row r="291">
          <cell r="A291" t="str">
            <v>박은정</v>
          </cell>
          <cell r="B291" t="str">
            <v>8706152905913</v>
          </cell>
        </row>
        <row r="292">
          <cell r="A292" t="str">
            <v>박상선</v>
          </cell>
          <cell r="B292" t="str">
            <v>8707051182515</v>
          </cell>
        </row>
        <row r="293">
          <cell r="A293" t="str">
            <v>김지윤</v>
          </cell>
          <cell r="B293" t="str">
            <v>6410142683611</v>
          </cell>
        </row>
        <row r="294">
          <cell r="A294" t="str">
            <v>조경임</v>
          </cell>
          <cell r="B294" t="str">
            <v>7603232674219</v>
          </cell>
        </row>
        <row r="295">
          <cell r="A295" t="str">
            <v>권기남</v>
          </cell>
          <cell r="B295" t="str">
            <v>0310153902315</v>
          </cell>
        </row>
        <row r="296">
          <cell r="A296" t="str">
            <v>박미경</v>
          </cell>
          <cell r="B296" t="str">
            <v>6707142177617</v>
          </cell>
        </row>
        <row r="297">
          <cell r="A297" t="str">
            <v>김태환</v>
          </cell>
          <cell r="B297" t="str">
            <v>8709051199515</v>
          </cell>
        </row>
        <row r="298">
          <cell r="A298" t="str">
            <v>김윤배</v>
          </cell>
          <cell r="B298" t="str">
            <v>6610082850710</v>
          </cell>
        </row>
        <row r="299">
          <cell r="A299" t="str">
            <v>김현정</v>
          </cell>
          <cell r="B299" t="str">
            <v>7412042109732</v>
          </cell>
        </row>
        <row r="300">
          <cell r="A300" t="str">
            <v>손보경</v>
          </cell>
          <cell r="B300" t="str">
            <v>0912184861410</v>
          </cell>
        </row>
        <row r="301">
          <cell r="A301" t="str">
            <v>이준영</v>
          </cell>
          <cell r="B301" t="str">
            <v>0203153123915</v>
          </cell>
        </row>
        <row r="302">
          <cell r="A302" t="str">
            <v>김영민</v>
          </cell>
          <cell r="B302" t="str">
            <v>0208123904116</v>
          </cell>
        </row>
        <row r="303">
          <cell r="A303" t="str">
            <v>박명희</v>
          </cell>
          <cell r="B303" t="str">
            <v>8601012929429</v>
          </cell>
        </row>
        <row r="304">
          <cell r="A304" t="str">
            <v>박효주</v>
          </cell>
          <cell r="B304" t="str">
            <v>7803032397313</v>
          </cell>
        </row>
        <row r="305">
          <cell r="A305" t="str">
            <v>오은진</v>
          </cell>
          <cell r="B305" t="str">
            <v>0304154109031</v>
          </cell>
        </row>
        <row r="306">
          <cell r="A306" t="str">
            <v>한연수</v>
          </cell>
          <cell r="B306" t="str">
            <v>0608204121211</v>
          </cell>
        </row>
        <row r="307">
          <cell r="A307" t="str">
            <v>유도온</v>
          </cell>
          <cell r="B307" t="str">
            <v>8509242852341</v>
          </cell>
        </row>
        <row r="308">
          <cell r="A308" t="str">
            <v>박세현</v>
          </cell>
          <cell r="B308" t="str">
            <v>9502051823310</v>
          </cell>
        </row>
        <row r="309">
          <cell r="A309" t="str">
            <v>강동현</v>
          </cell>
          <cell r="B309" t="str">
            <v>8801091113541</v>
          </cell>
        </row>
        <row r="310">
          <cell r="A310" t="str">
            <v>안주원</v>
          </cell>
          <cell r="B310" t="str">
            <v>9208032860510</v>
          </cell>
        </row>
        <row r="311">
          <cell r="A311" t="str">
            <v>윤소희</v>
          </cell>
          <cell r="B311" t="str">
            <v>0012064164518</v>
          </cell>
        </row>
        <row r="312">
          <cell r="A312" t="str">
            <v>이영아</v>
          </cell>
          <cell r="B312" t="str">
            <v>7803012121910</v>
          </cell>
        </row>
        <row r="313">
          <cell r="A313" t="str">
            <v>황현정</v>
          </cell>
          <cell r="B313" t="str">
            <v>7106242802417</v>
          </cell>
        </row>
        <row r="314">
          <cell r="A314" t="str">
            <v>김미성</v>
          </cell>
          <cell r="B314" t="str">
            <v>9004192674422</v>
          </cell>
        </row>
        <row r="315">
          <cell r="A315" t="str">
            <v>한종훈</v>
          </cell>
          <cell r="B315" t="str">
            <v>0212243120712</v>
          </cell>
        </row>
        <row r="316">
          <cell r="A316" t="str">
            <v>최은미</v>
          </cell>
          <cell r="B316" t="str">
            <v>8108012797825</v>
          </cell>
        </row>
        <row r="317">
          <cell r="A317" t="str">
            <v>김미진</v>
          </cell>
          <cell r="B317" t="str">
            <v>0103024693111</v>
          </cell>
        </row>
        <row r="318">
          <cell r="A318" t="str">
            <v>손현준</v>
          </cell>
          <cell r="B318" t="str">
            <v>0601293698616</v>
          </cell>
        </row>
        <row r="319">
          <cell r="A319" t="str">
            <v>정은서</v>
          </cell>
          <cell r="B319" t="str">
            <v>0106064722611</v>
          </cell>
        </row>
        <row r="320">
          <cell r="A320" t="str">
            <v>우준영</v>
          </cell>
          <cell r="B320" t="str">
            <v>6807232687056</v>
          </cell>
        </row>
        <row r="321">
          <cell r="A321" t="str">
            <v>손혜리</v>
          </cell>
          <cell r="B321" t="str">
            <v>6202152921232</v>
          </cell>
        </row>
        <row r="322">
          <cell r="A322" t="str">
            <v>하상오</v>
          </cell>
          <cell r="B322" t="str">
            <v>6001051120212</v>
          </cell>
        </row>
        <row r="323">
          <cell r="A323" t="str">
            <v>김영수</v>
          </cell>
          <cell r="B323" t="str">
            <v>9105171860619</v>
          </cell>
        </row>
        <row r="324">
          <cell r="A324" t="str">
            <v>신대은</v>
          </cell>
          <cell r="B324" t="str">
            <v>7406022167415</v>
          </cell>
        </row>
        <row r="325">
          <cell r="A325" t="str">
            <v>방준수</v>
          </cell>
          <cell r="B325" t="str">
            <v>9609301157829</v>
          </cell>
        </row>
        <row r="326">
          <cell r="A326" t="str">
            <v>김현철</v>
          </cell>
          <cell r="B326" t="str">
            <v>8304041849613</v>
          </cell>
        </row>
        <row r="327">
          <cell r="A327" t="str">
            <v>박옥선</v>
          </cell>
          <cell r="B327" t="str">
            <v>7302022010316</v>
          </cell>
        </row>
        <row r="328">
          <cell r="A328" t="str">
            <v>공영숙</v>
          </cell>
          <cell r="B328" t="str">
            <v>6410042798111</v>
          </cell>
        </row>
        <row r="329">
          <cell r="A329" t="str">
            <v>조윤호</v>
          </cell>
          <cell r="B329" t="str">
            <v>8909241106616</v>
          </cell>
        </row>
        <row r="330">
          <cell r="A330" t="str">
            <v>문명준</v>
          </cell>
          <cell r="B330" t="str">
            <v>8109161845918</v>
          </cell>
        </row>
        <row r="331">
          <cell r="A331" t="str">
            <v>진희수</v>
          </cell>
          <cell r="B331" t="str">
            <v>9003312120412</v>
          </cell>
        </row>
        <row r="332">
          <cell r="A332" t="str">
            <v>김귀숙</v>
          </cell>
          <cell r="B332" t="str">
            <v>6511032813516</v>
          </cell>
        </row>
        <row r="333">
          <cell r="A333" t="str">
            <v>김정은</v>
          </cell>
          <cell r="B333" t="str">
            <v>7505212835619</v>
          </cell>
        </row>
        <row r="334">
          <cell r="A334" t="str">
            <v>김정임</v>
          </cell>
          <cell r="B334" t="str">
            <v>7101152682725</v>
          </cell>
        </row>
        <row r="335">
          <cell r="A335" t="str">
            <v>황혜진</v>
          </cell>
          <cell r="B335" t="str">
            <v>8402272674511</v>
          </cell>
        </row>
        <row r="336">
          <cell r="A336" t="str">
            <v>김인수</v>
          </cell>
          <cell r="B336" t="str">
            <v>8901201203415</v>
          </cell>
        </row>
        <row r="337">
          <cell r="A337" t="str">
            <v>이태숙</v>
          </cell>
          <cell r="B337" t="str">
            <v>7108202802921</v>
          </cell>
        </row>
        <row r="338">
          <cell r="A338" t="str">
            <v>김유진</v>
          </cell>
          <cell r="B338" t="str">
            <v>7601202795922</v>
          </cell>
        </row>
        <row r="339">
          <cell r="A339" t="str">
            <v>이유진</v>
          </cell>
          <cell r="B339" t="str">
            <v>9104112351016</v>
          </cell>
        </row>
        <row r="340">
          <cell r="A340" t="str">
            <v>박재한</v>
          </cell>
          <cell r="B340" t="str">
            <v>9802281899312</v>
          </cell>
        </row>
        <row r="341">
          <cell r="A341" t="str">
            <v>조한경</v>
          </cell>
          <cell r="B341" t="str">
            <v>0111283228826</v>
          </cell>
        </row>
        <row r="342">
          <cell r="A342" t="str">
            <v>천재민</v>
          </cell>
          <cell r="B342" t="str">
            <v>0105163860713</v>
          </cell>
        </row>
        <row r="343">
          <cell r="A343" t="str">
            <v>박현규</v>
          </cell>
          <cell r="B343" t="str">
            <v>8301071559215</v>
          </cell>
        </row>
        <row r="344">
          <cell r="A344" t="str">
            <v>강정분</v>
          </cell>
          <cell r="B344" t="str">
            <v>5104202922915</v>
          </cell>
        </row>
        <row r="345">
          <cell r="A345" t="str">
            <v>박순천</v>
          </cell>
          <cell r="B345" t="str">
            <v>6610052905812</v>
          </cell>
        </row>
        <row r="346">
          <cell r="A346" t="str">
            <v>정연기</v>
          </cell>
          <cell r="B346" t="str">
            <v>6209152798011</v>
          </cell>
        </row>
        <row r="347">
          <cell r="A347" t="str">
            <v>박정둘</v>
          </cell>
          <cell r="B347" t="str">
            <v>6501232895210</v>
          </cell>
        </row>
        <row r="348">
          <cell r="A348" t="str">
            <v>한승진</v>
          </cell>
          <cell r="B348" t="str">
            <v>8001031792812</v>
          </cell>
        </row>
        <row r="349">
          <cell r="A349" t="str">
            <v>최한영</v>
          </cell>
          <cell r="B349" t="str">
            <v>9504131216214</v>
          </cell>
        </row>
        <row r="350">
          <cell r="A350" t="str">
            <v>박준범</v>
          </cell>
          <cell r="B350" t="str">
            <v>7306011673927</v>
          </cell>
        </row>
        <row r="351">
          <cell r="A351" t="str">
            <v>김지환</v>
          </cell>
          <cell r="B351" t="str">
            <v>0709143721010</v>
          </cell>
        </row>
        <row r="352">
          <cell r="A352" t="str">
            <v>곽경화</v>
          </cell>
          <cell r="B352" t="str">
            <v>7103012121610</v>
          </cell>
        </row>
        <row r="353">
          <cell r="A353" t="str">
            <v>김진영</v>
          </cell>
          <cell r="B353" t="str">
            <v>8311042902112</v>
          </cell>
        </row>
        <row r="354">
          <cell r="A354" t="str">
            <v>정건아</v>
          </cell>
          <cell r="B354" t="str">
            <v>0103243697818</v>
          </cell>
        </row>
        <row r="355">
          <cell r="A355" t="str">
            <v>이금자</v>
          </cell>
          <cell r="B355" t="str">
            <v>6011272101711</v>
          </cell>
        </row>
        <row r="356">
          <cell r="A356" t="str">
            <v>강경미</v>
          </cell>
          <cell r="B356" t="str">
            <v>7906072683918</v>
          </cell>
        </row>
        <row r="357">
          <cell r="A357" t="str">
            <v>조영옥</v>
          </cell>
          <cell r="B357" t="str">
            <v>6104152774529</v>
          </cell>
        </row>
        <row r="358">
          <cell r="A358" t="str">
            <v>왕경란</v>
          </cell>
          <cell r="B358" t="str">
            <v>6604102318910</v>
          </cell>
        </row>
        <row r="359">
          <cell r="A359" t="str">
            <v>이지안(69)</v>
          </cell>
          <cell r="B359" t="str">
            <v>6907202774611</v>
          </cell>
        </row>
        <row r="360">
          <cell r="A360" t="str">
            <v>원민지</v>
          </cell>
          <cell r="B360" t="str">
            <v>9705152847313</v>
          </cell>
        </row>
        <row r="361">
          <cell r="A361" t="str">
            <v>전민주</v>
          </cell>
          <cell r="B361" t="str">
            <v>7110112804329</v>
          </cell>
        </row>
        <row r="362">
          <cell r="A362" t="str">
            <v>안영규</v>
          </cell>
          <cell r="B362" t="str">
            <v>9910111803211</v>
          </cell>
        </row>
        <row r="363">
          <cell r="A363" t="str">
            <v>김한</v>
          </cell>
          <cell r="B363" t="str">
            <v>7703121118013</v>
          </cell>
        </row>
        <row r="364">
          <cell r="A364" t="str">
            <v>박진배</v>
          </cell>
          <cell r="B364" t="str">
            <v>9309061090211</v>
          </cell>
        </row>
        <row r="365">
          <cell r="A365" t="str">
            <v>정춘희</v>
          </cell>
          <cell r="B365" t="str">
            <v>8303192348511</v>
          </cell>
        </row>
        <row r="366">
          <cell r="A366" t="str">
            <v>김찬옥</v>
          </cell>
          <cell r="B366" t="str">
            <v>8612272691612</v>
          </cell>
        </row>
        <row r="367">
          <cell r="A367" t="str">
            <v>김미옥</v>
          </cell>
          <cell r="B367" t="str">
            <v>6512152347843</v>
          </cell>
        </row>
        <row r="368">
          <cell r="A368" t="str">
            <v>구민아</v>
          </cell>
          <cell r="B368" t="str">
            <v>7509082695719</v>
          </cell>
        </row>
        <row r="369">
          <cell r="A369" t="str">
            <v>유영화</v>
          </cell>
          <cell r="B369" t="str">
            <v>6304092797927</v>
          </cell>
        </row>
        <row r="370">
          <cell r="A370" t="str">
            <v>김태헌</v>
          </cell>
          <cell r="B370" t="str">
            <v>9508231735112</v>
          </cell>
        </row>
        <row r="371">
          <cell r="A371" t="str">
            <v>이서정</v>
          </cell>
          <cell r="B371" t="str">
            <v>9701242830719</v>
          </cell>
        </row>
        <row r="372">
          <cell r="A372" t="str">
            <v>최원정</v>
          </cell>
          <cell r="B372" t="str">
            <v>0012053903824</v>
          </cell>
        </row>
        <row r="373">
          <cell r="A373" t="str">
            <v>김은숙</v>
          </cell>
          <cell r="B373" t="str">
            <v>7712182673923</v>
          </cell>
        </row>
        <row r="374">
          <cell r="A374" t="str">
            <v>박정식</v>
          </cell>
          <cell r="B374" t="str">
            <v>7111101100417</v>
          </cell>
        </row>
        <row r="375">
          <cell r="A375" t="str">
            <v>김지현</v>
          </cell>
          <cell r="B375" t="str">
            <v>0202094853910</v>
          </cell>
        </row>
        <row r="376">
          <cell r="A376" t="str">
            <v>곽효진</v>
          </cell>
          <cell r="B376" t="str">
            <v>9809202901912</v>
          </cell>
        </row>
        <row r="377">
          <cell r="A377" t="str">
            <v>한동환</v>
          </cell>
          <cell r="B377" t="str">
            <v>8806111851614</v>
          </cell>
        </row>
        <row r="378">
          <cell r="A378" t="str">
            <v>이성한</v>
          </cell>
          <cell r="B378" t="str">
            <v>9305071110818</v>
          </cell>
        </row>
        <row r="379">
          <cell r="A379" t="str">
            <v>정승민</v>
          </cell>
          <cell r="B379" t="str">
            <v>0204253121221</v>
          </cell>
        </row>
        <row r="380">
          <cell r="A380" t="str">
            <v>조동화</v>
          </cell>
          <cell r="B380" t="str">
            <v>6004092775311</v>
          </cell>
        </row>
        <row r="381">
          <cell r="A381" t="str">
            <v>이수호</v>
          </cell>
          <cell r="B381" t="str">
            <v>8905201081019</v>
          </cell>
        </row>
        <row r="382">
          <cell r="A382" t="str">
            <v>이민규</v>
          </cell>
          <cell r="B382" t="str">
            <v>0605253803211</v>
          </cell>
        </row>
        <row r="383">
          <cell r="A383" t="str">
            <v>임정현</v>
          </cell>
          <cell r="B383" t="str">
            <v>0701013803229</v>
          </cell>
        </row>
        <row r="384">
          <cell r="A384" t="str">
            <v>이금숙</v>
          </cell>
          <cell r="B384" t="str">
            <v>6809162798024</v>
          </cell>
        </row>
        <row r="385">
          <cell r="A385" t="str">
            <v>김옥랑</v>
          </cell>
          <cell r="B385" t="str">
            <v>6010112348326</v>
          </cell>
        </row>
        <row r="386">
          <cell r="A386" t="str">
            <v>조용조</v>
          </cell>
          <cell r="B386" t="str">
            <v>9210161698119</v>
          </cell>
        </row>
        <row r="387">
          <cell r="A387" t="str">
            <v>허강민</v>
          </cell>
          <cell r="B387" t="str">
            <v>9509071674512</v>
          </cell>
        </row>
        <row r="388">
          <cell r="A388" t="str">
            <v>문윤서</v>
          </cell>
          <cell r="B388" t="str">
            <v>8508192684917</v>
          </cell>
        </row>
        <row r="389">
          <cell r="A389" t="str">
            <v>권경희</v>
          </cell>
          <cell r="B389" t="str">
            <v>7211252816713</v>
          </cell>
        </row>
        <row r="390">
          <cell r="A390" t="str">
            <v>김대엽</v>
          </cell>
          <cell r="B390" t="str">
            <v>0002143748413</v>
          </cell>
        </row>
        <row r="391">
          <cell r="A391" t="str">
            <v>임경미</v>
          </cell>
          <cell r="B391" t="str">
            <v>8308122657017</v>
          </cell>
        </row>
        <row r="392">
          <cell r="A392" t="str">
            <v>문창순</v>
          </cell>
          <cell r="B392" t="str">
            <v>5411242908214</v>
          </cell>
        </row>
        <row r="393">
          <cell r="A393" t="str">
            <v>김광호</v>
          </cell>
          <cell r="B393" t="str">
            <v>5904221803116</v>
          </cell>
        </row>
        <row r="394">
          <cell r="A394" t="str">
            <v>정관식</v>
          </cell>
          <cell r="B394" t="str">
            <v>5603231902213</v>
          </cell>
        </row>
        <row r="395">
          <cell r="A395" t="str">
            <v>용재선</v>
          </cell>
          <cell r="B395" t="str">
            <v>6509102927612</v>
          </cell>
        </row>
        <row r="396">
          <cell r="A396" t="str">
            <v>양민형</v>
          </cell>
          <cell r="B396" t="str">
            <v>9204301095611</v>
          </cell>
        </row>
        <row r="397">
          <cell r="A397" t="str">
            <v>이찬호</v>
          </cell>
          <cell r="B397" t="str">
            <v>0012023861212</v>
          </cell>
        </row>
        <row r="398">
          <cell r="A398" t="str">
            <v>이재민</v>
          </cell>
          <cell r="B398" t="str">
            <v>0404243784016</v>
          </cell>
        </row>
        <row r="399">
          <cell r="A399" t="str">
            <v>강현승</v>
          </cell>
          <cell r="B399" t="str">
            <v>0007093908212</v>
          </cell>
        </row>
        <row r="400">
          <cell r="A400" t="str">
            <v>김혜성</v>
          </cell>
          <cell r="B400" t="str">
            <v>7408292696311</v>
          </cell>
        </row>
        <row r="401">
          <cell r="A401" t="str">
            <v>이인정</v>
          </cell>
          <cell r="B401" t="str">
            <v>7209052802511</v>
          </cell>
        </row>
        <row r="402">
          <cell r="A402" t="str">
            <v>조보람</v>
          </cell>
          <cell r="B402" t="str">
            <v>9503152200612</v>
          </cell>
        </row>
        <row r="403">
          <cell r="A403" t="str">
            <v>서영란</v>
          </cell>
          <cell r="B403" t="str">
            <v>7012242386126</v>
          </cell>
        </row>
        <row r="404">
          <cell r="A404" t="str">
            <v>백한순</v>
          </cell>
          <cell r="B404" t="str">
            <v>0009274853322</v>
          </cell>
        </row>
        <row r="405">
          <cell r="A405" t="str">
            <v>권귀현</v>
          </cell>
          <cell r="B405" t="str">
            <v>0704234902310</v>
          </cell>
        </row>
        <row r="406">
          <cell r="A406" t="str">
            <v>최경희</v>
          </cell>
          <cell r="B406" t="str">
            <v>6809212820417</v>
          </cell>
        </row>
        <row r="407">
          <cell r="A407" t="str">
            <v>정세영</v>
          </cell>
          <cell r="B407" t="str">
            <v>8702261910214</v>
          </cell>
        </row>
        <row r="408">
          <cell r="A408" t="str">
            <v>구한길</v>
          </cell>
          <cell r="B408" t="str">
            <v>8509211891915</v>
          </cell>
        </row>
        <row r="409">
          <cell r="A409" t="str">
            <v>오대현</v>
          </cell>
          <cell r="B409" t="str">
            <v>0404123109020</v>
          </cell>
        </row>
        <row r="410">
          <cell r="A410" t="str">
            <v>최연재</v>
          </cell>
          <cell r="B410" t="str">
            <v>9301132690910</v>
          </cell>
        </row>
        <row r="411">
          <cell r="A411" t="str">
            <v>정나경</v>
          </cell>
          <cell r="B411" t="str">
            <v>0402264823715</v>
          </cell>
        </row>
        <row r="412">
          <cell r="A412" t="str">
            <v>김강민</v>
          </cell>
          <cell r="B412" t="str">
            <v>0204033854133</v>
          </cell>
        </row>
        <row r="413">
          <cell r="A413" t="str">
            <v>박지언</v>
          </cell>
          <cell r="B413" t="str">
            <v>1009203902214</v>
          </cell>
        </row>
        <row r="414">
          <cell r="A414" t="str">
            <v>최영석</v>
          </cell>
          <cell r="B414" t="str">
            <v>9602231096425</v>
          </cell>
        </row>
        <row r="415">
          <cell r="A415" t="str">
            <v>배영희</v>
          </cell>
          <cell r="B415" t="str">
            <v>5910202122913</v>
          </cell>
        </row>
        <row r="416">
          <cell r="A416" t="str">
            <v>김훈종</v>
          </cell>
          <cell r="B416" t="str">
            <v>0211253853223</v>
          </cell>
        </row>
        <row r="417">
          <cell r="A417" t="str">
            <v>주성민</v>
          </cell>
          <cell r="B417" t="str">
            <v>0204253246921</v>
          </cell>
        </row>
        <row r="418">
          <cell r="A418" t="str">
            <v>김규은</v>
          </cell>
          <cell r="B418" t="str">
            <v>0406234267717</v>
          </cell>
        </row>
        <row r="419">
          <cell r="A419" t="str">
            <v>박수종</v>
          </cell>
          <cell r="B419" t="str">
            <v>0012133920511</v>
          </cell>
        </row>
        <row r="420">
          <cell r="A420" t="str">
            <v>이혜진</v>
          </cell>
          <cell r="B420" t="str">
            <v>8006112124127</v>
          </cell>
        </row>
        <row r="421">
          <cell r="A421" t="str">
            <v>이승효</v>
          </cell>
          <cell r="B421" t="str">
            <v>0904153581219</v>
          </cell>
        </row>
        <row r="422">
          <cell r="A422" t="str">
            <v>김민수</v>
          </cell>
          <cell r="B422" t="str">
            <v>0005173803226</v>
          </cell>
        </row>
        <row r="423">
          <cell r="A423" t="str">
            <v>남지은</v>
          </cell>
          <cell r="B423" t="str">
            <v>9410262800315</v>
          </cell>
        </row>
        <row r="424">
          <cell r="A424" t="str">
            <v>문효정</v>
          </cell>
          <cell r="B424" t="str">
            <v>6611172121610</v>
          </cell>
        </row>
        <row r="425">
          <cell r="A425" t="str">
            <v>권유한</v>
          </cell>
          <cell r="B425" t="str">
            <v>0902203802511</v>
          </cell>
        </row>
        <row r="426">
          <cell r="A426" t="str">
            <v>이재훈</v>
          </cell>
          <cell r="B426" t="str">
            <v>9301141684911</v>
          </cell>
        </row>
        <row r="427">
          <cell r="A427" t="str">
            <v>권주한</v>
          </cell>
          <cell r="B427" t="str">
            <v>0710253802510</v>
          </cell>
        </row>
        <row r="428">
          <cell r="A428" t="str">
            <v>이정아</v>
          </cell>
          <cell r="B428" t="str">
            <v>7102022697319</v>
          </cell>
        </row>
        <row r="429">
          <cell r="A429" t="str">
            <v>이미화</v>
          </cell>
          <cell r="B429" t="str">
            <v>7109122800513</v>
          </cell>
        </row>
        <row r="430">
          <cell r="A430" t="str">
            <v>김민준</v>
          </cell>
          <cell r="B430" t="str">
            <v>8605231683814</v>
          </cell>
        </row>
        <row r="431">
          <cell r="A431" t="str">
            <v>허윤지</v>
          </cell>
          <cell r="B431" t="str">
            <v>8905102024917</v>
          </cell>
        </row>
        <row r="432">
          <cell r="A432" t="str">
            <v>조서현</v>
          </cell>
          <cell r="B432" t="str">
            <v>7702072788611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58"/>
  <sheetViews>
    <sheetView tabSelected="1" zoomScale="85" zoomScaleNormal="85" workbookViewId="0">
      <pane ySplit="1" topLeftCell="A2" activePane="bottomLeft" state="frozen"/>
      <selection pane="bottomLeft" activeCell="E17" sqref="E17"/>
    </sheetView>
  </sheetViews>
  <sheetFormatPr defaultRowHeight="13.5" x14ac:dyDescent="0.3"/>
  <cols>
    <col min="1" max="1" width="8" style="14" bestFit="1" customWidth="1"/>
    <col min="2" max="2" width="8.125" style="14" bestFit="1" customWidth="1"/>
    <col min="3" max="3" width="18.125" style="14" bestFit="1" customWidth="1"/>
    <col min="4" max="4" width="8" style="14" bestFit="1" customWidth="1"/>
    <col min="5" max="5" width="11.375" style="14" bestFit="1" customWidth="1"/>
    <col min="6" max="6" width="12.75" style="14" bestFit="1" customWidth="1"/>
    <col min="7" max="7" width="9.25" style="14" bestFit="1" customWidth="1"/>
    <col min="8" max="8" width="11" style="14" bestFit="1" customWidth="1"/>
    <col min="9" max="9" width="8" style="14" bestFit="1" customWidth="1"/>
    <col min="10" max="18" width="4.125" style="14" bestFit="1" customWidth="1"/>
    <col min="19" max="40" width="5.125" style="14" bestFit="1" customWidth="1"/>
    <col min="41" max="43" width="8" style="14" bestFit="1" customWidth="1"/>
    <col min="44" max="44" width="9.25" style="15" bestFit="1" customWidth="1"/>
    <col min="45" max="45" width="8" style="15" bestFit="1" customWidth="1"/>
    <col min="46" max="46" width="11.375" style="14" bestFit="1" customWidth="1"/>
    <col min="47" max="48" width="13.125" style="14" bestFit="1" customWidth="1"/>
    <col min="49" max="49" width="11.375" style="15" bestFit="1" customWidth="1"/>
    <col min="50" max="50" width="6.375" style="15" bestFit="1" customWidth="1"/>
    <col min="51" max="51" width="9.25" style="15" bestFit="1" customWidth="1"/>
    <col min="52" max="52" width="9.625" style="15" bestFit="1" customWidth="1"/>
    <col min="53" max="53" width="6.375" style="15" bestFit="1" customWidth="1"/>
    <col min="54" max="54" width="9.625" style="15" bestFit="1" customWidth="1"/>
    <col min="55" max="16384" width="9" style="15"/>
  </cols>
  <sheetData>
    <row r="1" spans="1:54" s="13" customFormat="1" ht="51.75" customHeight="1" x14ac:dyDescent="0.3">
      <c r="A1" s="16" t="s">
        <v>74</v>
      </c>
      <c r="B1" s="17" t="s">
        <v>59</v>
      </c>
      <c r="C1" s="17" t="s">
        <v>60</v>
      </c>
      <c r="D1" s="18" t="s">
        <v>61</v>
      </c>
      <c r="E1" s="18" t="s">
        <v>62</v>
      </c>
      <c r="F1" s="19" t="s">
        <v>51</v>
      </c>
      <c r="G1" s="19" t="s">
        <v>53</v>
      </c>
      <c r="H1" s="19" t="s">
        <v>55</v>
      </c>
      <c r="I1" s="18" t="s">
        <v>63</v>
      </c>
      <c r="J1" s="17" t="s">
        <v>64</v>
      </c>
      <c r="K1" s="17" t="s">
        <v>65</v>
      </c>
      <c r="L1" s="17" t="s">
        <v>66</v>
      </c>
      <c r="M1" s="17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17" t="s">
        <v>24</v>
      </c>
      <c r="U1" s="17" t="s">
        <v>25</v>
      </c>
      <c r="V1" s="17" t="s">
        <v>26</v>
      </c>
      <c r="W1" s="17" t="s">
        <v>27</v>
      </c>
      <c r="X1" s="17" t="s">
        <v>28</v>
      </c>
      <c r="Y1" s="17" t="s">
        <v>29</v>
      </c>
      <c r="Z1" s="17" t="s">
        <v>30</v>
      </c>
      <c r="AA1" s="17" t="s">
        <v>31</v>
      </c>
      <c r="AB1" s="17" t="s">
        <v>32</v>
      </c>
      <c r="AC1" s="17" t="s">
        <v>33</v>
      </c>
      <c r="AD1" s="17" t="s">
        <v>34</v>
      </c>
      <c r="AE1" s="17" t="s">
        <v>35</v>
      </c>
      <c r="AF1" s="17" t="s">
        <v>36</v>
      </c>
      <c r="AG1" s="17" t="s">
        <v>37</v>
      </c>
      <c r="AH1" s="17" t="s">
        <v>38</v>
      </c>
      <c r="AI1" s="17" t="s">
        <v>39</v>
      </c>
      <c r="AJ1" s="17" t="s">
        <v>40</v>
      </c>
      <c r="AK1" s="17" t="s">
        <v>41</v>
      </c>
      <c r="AL1" s="17" t="s">
        <v>42</v>
      </c>
      <c r="AM1" s="17" t="s">
        <v>43</v>
      </c>
      <c r="AN1" s="17" t="s">
        <v>67</v>
      </c>
      <c r="AO1" s="17" t="s">
        <v>68</v>
      </c>
      <c r="AP1" s="65" t="s">
        <v>810</v>
      </c>
      <c r="AQ1" s="21" t="s">
        <v>811</v>
      </c>
      <c r="AR1" s="21" t="s">
        <v>105</v>
      </c>
      <c r="AS1" s="21" t="s">
        <v>809</v>
      </c>
      <c r="AT1" s="18" t="s">
        <v>71</v>
      </c>
      <c r="AU1" s="21" t="s">
        <v>75</v>
      </c>
      <c r="AV1" s="21" t="s">
        <v>76</v>
      </c>
      <c r="AW1" s="11" t="s">
        <v>118</v>
      </c>
      <c r="AX1" s="11" t="s">
        <v>120</v>
      </c>
      <c r="AY1" s="11" t="s">
        <v>786</v>
      </c>
      <c r="AZ1" s="12" t="s">
        <v>106</v>
      </c>
      <c r="BA1" s="12" t="s">
        <v>107</v>
      </c>
      <c r="BB1" s="12" t="s">
        <v>108</v>
      </c>
    </row>
    <row r="2" spans="1:54" ht="16.5" x14ac:dyDescent="0.3">
      <c r="A2" s="32">
        <v>3</v>
      </c>
      <c r="B2" s="32" t="str">
        <f>'[1]근무일표(자동화)'!B5</f>
        <v>서영란</v>
      </c>
      <c r="C2" s="25" t="str">
        <f>_xlfn.IFNA(VLOOKUP(B2,[1]일용주민번호!A:B,2,0),"")</f>
        <v>7012242386126</v>
      </c>
      <c r="D2" s="32" t="str">
        <f>IF($B2="","","100")</f>
        <v>100</v>
      </c>
      <c r="E2" s="25"/>
      <c r="F2" s="32" t="str">
        <f>IF($B2="","","02")</f>
        <v>02</v>
      </c>
      <c r="G2" s="32" t="str">
        <f>IF($B2="","","538")</f>
        <v>538</v>
      </c>
      <c r="H2" s="32" t="str">
        <f>IF($B2="","","6933")</f>
        <v>6933</v>
      </c>
      <c r="I2" s="32" t="str">
        <f>IF($B2="","","615")</f>
        <v>615</v>
      </c>
      <c r="J2"/>
      <c r="K2"/>
      <c r="L2"/>
      <c r="M2"/>
      <c r="N2"/>
      <c r="O2"/>
      <c r="P2"/>
      <c r="Q2"/>
      <c r="R2"/>
      <c r="S2"/>
      <c r="T2"/>
      <c r="U2"/>
      <c r="V2"/>
      <c r="W2">
        <v>1</v>
      </c>
      <c r="X2">
        <v>1</v>
      </c>
      <c r="Y2">
        <v>1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s="62">
        <f>IF($B2="","",COUNTIF(J2:AN2,"=1"))</f>
        <v>3</v>
      </c>
      <c r="AP2" s="30" t="str">
        <f>IF($B2="","","10")</f>
        <v>10</v>
      </c>
      <c r="AQ2" s="62">
        <f>AO2</f>
        <v>3</v>
      </c>
      <c r="AR2" s="63">
        <v>390090</v>
      </c>
      <c r="AS2" s="15">
        <f>AR2</f>
        <v>390090</v>
      </c>
      <c r="AT2" s="62" t="str">
        <f>IF($B2="","","3")</f>
        <v>3</v>
      </c>
      <c r="AW2" s="64" t="str">
        <f>IF($B2="","","Y")</f>
        <v>Y</v>
      </c>
      <c r="AX2" s="64" t="str">
        <f ca="1">TEXT(EDATE(TODAY(), -1), "yyyymm")</f>
        <v>202602</v>
      </c>
      <c r="AY2" s="15">
        <f>AR2</f>
        <v>390090</v>
      </c>
    </row>
    <row r="3" spans="1:54" ht="16.5" x14ac:dyDescent="0.3">
      <c r="A3" s="32">
        <v>3</v>
      </c>
      <c r="B3" s="32" t="str">
        <f>'[1]근무일표(자동화)'!B6</f>
        <v>남점숙</v>
      </c>
      <c r="C3" s="25" t="str">
        <f>_xlfn.IFNA(VLOOKUP(B3,[1]일용주민번호!A:B,2,0),"")</f>
        <v>6008182684328</v>
      </c>
      <c r="D3" s="32" t="str">
        <f t="shared" ref="D3:D58" si="0">IF($B3="","","100")</f>
        <v>100</v>
      </c>
      <c r="E3" s="25"/>
      <c r="F3" s="32" t="str">
        <f t="shared" ref="F3:F58" si="1">IF($B3="","","02")</f>
        <v>02</v>
      </c>
      <c r="G3" s="32" t="str">
        <f t="shared" ref="G3:G58" si="2">IF($B3="","","538")</f>
        <v>538</v>
      </c>
      <c r="H3" s="32" t="str">
        <f t="shared" ref="H3:H58" si="3">IF($B3="","","6933")</f>
        <v>6933</v>
      </c>
      <c r="I3" s="32" t="str">
        <f t="shared" ref="I3:I58" si="4">IF($B3="","","615")</f>
        <v>615</v>
      </c>
      <c r="J3">
        <v>1</v>
      </c>
      <c r="K3"/>
      <c r="L3"/>
      <c r="M3"/>
      <c r="N3"/>
      <c r="O3"/>
      <c r="P3">
        <v>1</v>
      </c>
      <c r="Q3">
        <v>1</v>
      </c>
      <c r="R3"/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/>
      <c r="Z3">
        <v>1</v>
      </c>
      <c r="AA3">
        <v>1</v>
      </c>
      <c r="AB3">
        <v>1</v>
      </c>
      <c r="AC3">
        <v>1</v>
      </c>
      <c r="AD3">
        <v>1</v>
      </c>
      <c r="AE3"/>
      <c r="AF3"/>
      <c r="AG3">
        <v>1</v>
      </c>
      <c r="AH3">
        <v>1</v>
      </c>
      <c r="AI3"/>
      <c r="AJ3"/>
      <c r="AK3">
        <v>1</v>
      </c>
      <c r="AL3"/>
      <c r="AM3"/>
      <c r="AN3"/>
      <c r="AO3" s="62">
        <f t="shared" ref="AO3:AO19" si="5">IF($B3="","",COUNTIF(J3:AN3,"=1"))</f>
        <v>17</v>
      </c>
      <c r="AP3" s="30" t="str">
        <f t="shared" ref="AP3:AP58" si="6">IF($B3="","","10")</f>
        <v>10</v>
      </c>
      <c r="AQ3" s="62">
        <f t="shared" ref="AQ3:AQ19" si="7">AO3</f>
        <v>17</v>
      </c>
      <c r="AR3" s="63">
        <v>2210510</v>
      </c>
      <c r="AS3" s="15">
        <f t="shared" ref="AS3:AS19" si="8">AR3</f>
        <v>2210510</v>
      </c>
      <c r="AT3" s="62" t="str">
        <f t="shared" ref="AT3:AT58" si="9">IF($B3="","","3")</f>
        <v>3</v>
      </c>
      <c r="AW3" s="64" t="str">
        <f t="shared" ref="AW3:AW58" si="10">IF($B3="","","Y")</f>
        <v>Y</v>
      </c>
      <c r="AX3" s="64" t="str">
        <f t="shared" ref="AX3:AX58" ca="1" si="11">TEXT(EDATE(TODAY(), -1), "yyyymm")</f>
        <v>202602</v>
      </c>
      <c r="AY3" s="15">
        <f t="shared" ref="AY3:AY19" si="12">AR3</f>
        <v>2210510</v>
      </c>
    </row>
    <row r="4" spans="1:54" ht="16.5" x14ac:dyDescent="0.3">
      <c r="A4" s="32">
        <v>3</v>
      </c>
      <c r="B4" s="32" t="str">
        <f>'[1]근무일표(자동화)'!B7</f>
        <v>윤숙정</v>
      </c>
      <c r="C4" s="25" t="str">
        <f>_xlfn.IFNA(VLOOKUP(B4,[1]일용주민번호!A:B,2,0),"")</f>
        <v>7704032798615</v>
      </c>
      <c r="D4" s="32" t="str">
        <f t="shared" si="0"/>
        <v>100</v>
      </c>
      <c r="E4" s="25"/>
      <c r="F4" s="32" t="str">
        <f t="shared" si="1"/>
        <v>02</v>
      </c>
      <c r="G4" s="32" t="str">
        <f t="shared" si="2"/>
        <v>538</v>
      </c>
      <c r="H4" s="32" t="str">
        <f t="shared" si="3"/>
        <v>6933</v>
      </c>
      <c r="I4" s="32" t="str">
        <f t="shared" si="4"/>
        <v>615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>
        <v>1</v>
      </c>
      <c r="Z4">
        <v>1</v>
      </c>
      <c r="AA4">
        <v>1</v>
      </c>
      <c r="AB4"/>
      <c r="AC4"/>
      <c r="AD4"/>
      <c r="AE4"/>
      <c r="AF4"/>
      <c r="AG4"/>
      <c r="AH4"/>
      <c r="AI4"/>
      <c r="AJ4"/>
      <c r="AK4"/>
      <c r="AL4"/>
      <c r="AM4"/>
      <c r="AN4"/>
      <c r="AO4" s="62">
        <f t="shared" si="5"/>
        <v>3</v>
      </c>
      <c r="AP4" s="30" t="str">
        <f t="shared" si="6"/>
        <v>10</v>
      </c>
      <c r="AQ4" s="62">
        <f t="shared" si="7"/>
        <v>3</v>
      </c>
      <c r="AR4" s="63">
        <v>390090</v>
      </c>
      <c r="AS4" s="15">
        <f t="shared" si="8"/>
        <v>390090</v>
      </c>
      <c r="AT4" s="62" t="str">
        <f t="shared" si="9"/>
        <v>3</v>
      </c>
      <c r="AW4" s="64" t="str">
        <f t="shared" si="10"/>
        <v>Y</v>
      </c>
      <c r="AX4" s="64" t="str">
        <f t="shared" ca="1" si="11"/>
        <v>202602</v>
      </c>
      <c r="AY4" s="15">
        <f t="shared" si="12"/>
        <v>390090</v>
      </c>
    </row>
    <row r="5" spans="1:54" ht="16.5" x14ac:dyDescent="0.3">
      <c r="A5" s="32">
        <v>3</v>
      </c>
      <c r="B5" s="32" t="str">
        <f>'[1]근무일표(자동화)'!B8</f>
        <v>황윤석</v>
      </c>
      <c r="C5" s="25" t="str">
        <f>_xlfn.IFNA(VLOOKUP(B5,[1]일용주민번호!A:B,2,0),"")</f>
        <v>9512161303319</v>
      </c>
      <c r="D5" s="32" t="str">
        <f t="shared" si="0"/>
        <v>100</v>
      </c>
      <c r="E5" s="25"/>
      <c r="F5" s="32" t="str">
        <f t="shared" si="1"/>
        <v>02</v>
      </c>
      <c r="G5" s="32" t="str">
        <f t="shared" si="2"/>
        <v>538</v>
      </c>
      <c r="H5" s="32" t="str">
        <f t="shared" si="3"/>
        <v>6933</v>
      </c>
      <c r="I5" s="32" t="str">
        <f t="shared" si="4"/>
        <v>615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>
        <v>1</v>
      </c>
      <c r="Y5">
        <v>1</v>
      </c>
      <c r="Z5">
        <v>1</v>
      </c>
      <c r="AA5">
        <v>1</v>
      </c>
      <c r="AB5"/>
      <c r="AC5"/>
      <c r="AD5"/>
      <c r="AE5"/>
      <c r="AF5"/>
      <c r="AG5"/>
      <c r="AH5"/>
      <c r="AI5"/>
      <c r="AJ5"/>
      <c r="AK5"/>
      <c r="AL5"/>
      <c r="AM5"/>
      <c r="AN5"/>
      <c r="AO5" s="62">
        <f t="shared" si="5"/>
        <v>4</v>
      </c>
      <c r="AP5" s="30" t="str">
        <f t="shared" si="6"/>
        <v>10</v>
      </c>
      <c r="AQ5" s="62">
        <f t="shared" si="7"/>
        <v>4</v>
      </c>
      <c r="AR5" s="63">
        <v>454080</v>
      </c>
      <c r="AS5" s="15">
        <f t="shared" si="8"/>
        <v>454080</v>
      </c>
      <c r="AT5" s="62" t="str">
        <f t="shared" si="9"/>
        <v>3</v>
      </c>
      <c r="AW5" s="64" t="str">
        <f t="shared" si="10"/>
        <v>Y</v>
      </c>
      <c r="AX5" s="64" t="str">
        <f t="shared" ca="1" si="11"/>
        <v>202602</v>
      </c>
      <c r="AY5" s="15">
        <f t="shared" si="12"/>
        <v>454080</v>
      </c>
    </row>
    <row r="6" spans="1:54" ht="16.5" x14ac:dyDescent="0.3">
      <c r="A6" s="32">
        <v>3</v>
      </c>
      <c r="B6" s="32" t="str">
        <f>'[1]근무일표(자동화)'!B9</f>
        <v>문창순</v>
      </c>
      <c r="C6" s="25" t="str">
        <f>_xlfn.IFNA(VLOOKUP(B6,[1]일용주민번호!A:B,2,0),"")</f>
        <v>5411242908214</v>
      </c>
      <c r="D6" s="32" t="str">
        <f t="shared" si="0"/>
        <v>100</v>
      </c>
      <c r="E6" s="25"/>
      <c r="F6" s="32" t="str">
        <f t="shared" si="1"/>
        <v>02</v>
      </c>
      <c r="G6" s="32" t="str">
        <f t="shared" si="2"/>
        <v>538</v>
      </c>
      <c r="H6" s="32" t="str">
        <f t="shared" si="3"/>
        <v>6933</v>
      </c>
      <c r="I6" s="32" t="str">
        <f t="shared" si="4"/>
        <v>615</v>
      </c>
      <c r="J6"/>
      <c r="K6"/>
      <c r="L6">
        <v>1</v>
      </c>
      <c r="M6"/>
      <c r="N6">
        <v>1</v>
      </c>
      <c r="O6"/>
      <c r="P6"/>
      <c r="Q6"/>
      <c r="R6"/>
      <c r="S6"/>
      <c r="T6">
        <v>1</v>
      </c>
      <c r="U6">
        <v>1</v>
      </c>
      <c r="V6">
        <v>1</v>
      </c>
      <c r="W6"/>
      <c r="X6"/>
      <c r="Y6"/>
      <c r="Z6"/>
      <c r="AA6">
        <v>1</v>
      </c>
      <c r="AB6">
        <v>1</v>
      </c>
      <c r="AC6">
        <v>1</v>
      </c>
      <c r="AD6"/>
      <c r="AE6">
        <v>1</v>
      </c>
      <c r="AF6">
        <v>1</v>
      </c>
      <c r="AG6"/>
      <c r="AH6">
        <v>1</v>
      </c>
      <c r="AI6">
        <v>1</v>
      </c>
      <c r="AJ6">
        <v>1</v>
      </c>
      <c r="AK6">
        <v>1</v>
      </c>
      <c r="AL6"/>
      <c r="AM6"/>
      <c r="AN6"/>
      <c r="AO6" s="62">
        <f t="shared" si="5"/>
        <v>14</v>
      </c>
      <c r="AP6" s="30" t="str">
        <f t="shared" si="6"/>
        <v>10</v>
      </c>
      <c r="AQ6" s="62">
        <f t="shared" si="7"/>
        <v>14</v>
      </c>
      <c r="AR6" s="63">
        <v>1647100</v>
      </c>
      <c r="AS6" s="15">
        <f t="shared" si="8"/>
        <v>1647100</v>
      </c>
      <c r="AT6" s="62" t="str">
        <f t="shared" si="9"/>
        <v>3</v>
      </c>
      <c r="AW6" s="64" t="str">
        <f t="shared" si="10"/>
        <v>Y</v>
      </c>
      <c r="AX6" s="64" t="str">
        <f t="shared" ca="1" si="11"/>
        <v>202602</v>
      </c>
      <c r="AY6" s="15">
        <f t="shared" si="12"/>
        <v>1647100</v>
      </c>
    </row>
    <row r="7" spans="1:54" ht="16.5" x14ac:dyDescent="0.3">
      <c r="A7" s="32">
        <v>3</v>
      </c>
      <c r="B7" s="32" t="str">
        <f>'[1]근무일표(자동화)'!B10</f>
        <v>남정옥</v>
      </c>
      <c r="C7" s="25" t="str">
        <f>_xlfn.IFNA(VLOOKUP(B7,[1]일용주민번호!A:B,2,0),"")</f>
        <v>5206042241317</v>
      </c>
      <c r="D7" s="32" t="str">
        <f t="shared" si="0"/>
        <v>100</v>
      </c>
      <c r="E7" s="25"/>
      <c r="F7" s="32" t="str">
        <f t="shared" si="1"/>
        <v>02</v>
      </c>
      <c r="G7" s="32" t="str">
        <f t="shared" si="2"/>
        <v>538</v>
      </c>
      <c r="H7" s="32" t="str">
        <f t="shared" si="3"/>
        <v>6933</v>
      </c>
      <c r="I7" s="32" t="str">
        <f t="shared" si="4"/>
        <v>615</v>
      </c>
      <c r="J7"/>
      <c r="K7"/>
      <c r="L7">
        <v>1</v>
      </c>
      <c r="M7"/>
      <c r="N7"/>
      <c r="O7"/>
      <c r="P7">
        <v>1</v>
      </c>
      <c r="Q7">
        <v>1</v>
      </c>
      <c r="R7"/>
      <c r="S7"/>
      <c r="T7"/>
      <c r="U7">
        <v>1</v>
      </c>
      <c r="V7"/>
      <c r="W7"/>
      <c r="X7"/>
      <c r="Y7"/>
      <c r="Z7"/>
      <c r="AA7"/>
      <c r="AB7">
        <v>1</v>
      </c>
      <c r="AC7"/>
      <c r="AD7"/>
      <c r="AE7"/>
      <c r="AF7"/>
      <c r="AG7"/>
      <c r="AH7"/>
      <c r="AI7">
        <v>1</v>
      </c>
      <c r="AJ7">
        <v>1</v>
      </c>
      <c r="AK7">
        <v>1</v>
      </c>
      <c r="AL7"/>
      <c r="AM7"/>
      <c r="AN7"/>
      <c r="AO7" s="62">
        <f t="shared" si="5"/>
        <v>8</v>
      </c>
      <c r="AP7" s="30" t="str">
        <f t="shared" si="6"/>
        <v>10</v>
      </c>
      <c r="AQ7" s="62">
        <f t="shared" si="7"/>
        <v>8</v>
      </c>
      <c r="AR7" s="63">
        <v>941200</v>
      </c>
      <c r="AS7" s="15">
        <f t="shared" si="8"/>
        <v>941200</v>
      </c>
      <c r="AT7" s="62" t="str">
        <f t="shared" si="9"/>
        <v>3</v>
      </c>
      <c r="AW7" s="64" t="str">
        <f t="shared" si="10"/>
        <v>Y</v>
      </c>
      <c r="AX7" s="64" t="str">
        <f t="shared" ca="1" si="11"/>
        <v>202602</v>
      </c>
      <c r="AY7" s="15">
        <f t="shared" si="12"/>
        <v>941200</v>
      </c>
    </row>
    <row r="8" spans="1:54" ht="16.5" x14ac:dyDescent="0.3">
      <c r="A8" s="32">
        <v>3</v>
      </c>
      <c r="B8" s="32" t="str">
        <f>'[1]근무일표(자동화)'!B11</f>
        <v>강현승</v>
      </c>
      <c r="C8" s="25" t="str">
        <f>_xlfn.IFNA(VLOOKUP(B8,[1]일용주민번호!A:B,2,0),"")</f>
        <v>0007093908212</v>
      </c>
      <c r="D8" s="32" t="str">
        <f t="shared" si="0"/>
        <v>100</v>
      </c>
      <c r="E8" s="25"/>
      <c r="F8" s="32" t="str">
        <f t="shared" si="1"/>
        <v>02</v>
      </c>
      <c r="G8" s="32" t="str">
        <f t="shared" si="2"/>
        <v>538</v>
      </c>
      <c r="H8" s="32" t="str">
        <f t="shared" si="3"/>
        <v>6933</v>
      </c>
      <c r="I8" s="32" t="str">
        <f t="shared" si="4"/>
        <v>615</v>
      </c>
      <c r="J8">
        <v>1</v>
      </c>
      <c r="K8"/>
      <c r="L8"/>
      <c r="M8">
        <v>1</v>
      </c>
      <c r="N8">
        <v>1</v>
      </c>
      <c r="O8"/>
      <c r="P8"/>
      <c r="Q8"/>
      <c r="R8">
        <v>1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 s="62">
        <f t="shared" si="5"/>
        <v>4</v>
      </c>
      <c r="AP8" s="30" t="str">
        <f t="shared" si="6"/>
        <v>10</v>
      </c>
      <c r="AQ8" s="62">
        <f t="shared" si="7"/>
        <v>4</v>
      </c>
      <c r="AR8" s="63">
        <v>410000</v>
      </c>
      <c r="AS8" s="15">
        <f t="shared" si="8"/>
        <v>410000</v>
      </c>
      <c r="AT8" s="62" t="str">
        <f t="shared" si="9"/>
        <v>3</v>
      </c>
      <c r="AW8" s="64" t="str">
        <f t="shared" si="10"/>
        <v>Y</v>
      </c>
      <c r="AX8" s="64" t="str">
        <f t="shared" ca="1" si="11"/>
        <v>202602</v>
      </c>
      <c r="AY8" s="15">
        <f t="shared" si="12"/>
        <v>410000</v>
      </c>
    </row>
    <row r="9" spans="1:54" ht="16.5" x14ac:dyDescent="0.3">
      <c r="A9" s="32">
        <v>3</v>
      </c>
      <c r="B9" s="32" t="str">
        <f>'[1]근무일표(자동화)'!B12</f>
        <v>임서진</v>
      </c>
      <c r="C9" s="25" t="str">
        <f>_xlfn.IFNA(VLOOKUP(B9,[1]일용주민번호!A:B,2,0),"")</f>
        <v>0811143905913</v>
      </c>
      <c r="D9" s="32" t="str">
        <f t="shared" si="0"/>
        <v>100</v>
      </c>
      <c r="E9" s="25"/>
      <c r="F9" s="32" t="str">
        <f t="shared" si="1"/>
        <v>02</v>
      </c>
      <c r="G9" s="32" t="str">
        <f t="shared" si="2"/>
        <v>538</v>
      </c>
      <c r="H9" s="32" t="str">
        <f t="shared" si="3"/>
        <v>6933</v>
      </c>
      <c r="I9" s="32" t="str">
        <f t="shared" si="4"/>
        <v>615</v>
      </c>
      <c r="J9"/>
      <c r="K9"/>
      <c r="L9"/>
      <c r="M9"/>
      <c r="N9"/>
      <c r="O9"/>
      <c r="P9"/>
      <c r="Q9"/>
      <c r="R9"/>
      <c r="S9"/>
      <c r="T9"/>
      <c r="U9"/>
      <c r="V9"/>
      <c r="W9">
        <v>1</v>
      </c>
      <c r="X9">
        <v>1</v>
      </c>
      <c r="Y9">
        <v>1</v>
      </c>
      <c r="Z9">
        <v>1</v>
      </c>
      <c r="AA9">
        <v>1</v>
      </c>
      <c r="AB9"/>
      <c r="AC9"/>
      <c r="AD9"/>
      <c r="AE9"/>
      <c r="AF9"/>
      <c r="AG9"/>
      <c r="AH9"/>
      <c r="AI9"/>
      <c r="AJ9"/>
      <c r="AK9"/>
      <c r="AL9"/>
      <c r="AM9"/>
      <c r="AN9"/>
      <c r="AO9" s="62">
        <f t="shared" si="5"/>
        <v>5</v>
      </c>
      <c r="AP9" s="30" t="str">
        <f t="shared" si="6"/>
        <v>10</v>
      </c>
      <c r="AQ9" s="62">
        <f t="shared" si="7"/>
        <v>5</v>
      </c>
      <c r="AR9" s="63">
        <v>656000</v>
      </c>
      <c r="AS9" s="15">
        <f t="shared" si="8"/>
        <v>656000</v>
      </c>
      <c r="AT9" s="62" t="str">
        <f t="shared" si="9"/>
        <v>3</v>
      </c>
      <c r="AW9" s="64" t="str">
        <f t="shared" si="10"/>
        <v>Y</v>
      </c>
      <c r="AX9" s="64" t="str">
        <f t="shared" ca="1" si="11"/>
        <v>202602</v>
      </c>
      <c r="AY9" s="15">
        <f t="shared" si="12"/>
        <v>656000</v>
      </c>
    </row>
    <row r="10" spans="1:54" ht="16.5" x14ac:dyDescent="0.3">
      <c r="A10" s="32">
        <v>3</v>
      </c>
      <c r="B10" s="32" t="str">
        <f>'[1]근무일표(자동화)'!B13</f>
        <v>황윤서</v>
      </c>
      <c r="C10" s="25" t="str">
        <f>_xlfn.IFNA(VLOOKUP(B10,[1]일용주민번호!A:B,2,0),"")</f>
        <v>0403154684918</v>
      </c>
      <c r="D10" s="32" t="str">
        <f t="shared" si="0"/>
        <v>100</v>
      </c>
      <c r="E10" s="25"/>
      <c r="F10" s="32" t="str">
        <f t="shared" si="1"/>
        <v>02</v>
      </c>
      <c r="G10" s="32" t="str">
        <f t="shared" si="2"/>
        <v>538</v>
      </c>
      <c r="H10" s="32" t="str">
        <f t="shared" si="3"/>
        <v>6933</v>
      </c>
      <c r="I10" s="32" t="str">
        <f t="shared" si="4"/>
        <v>615</v>
      </c>
      <c r="J10"/>
      <c r="K10"/>
      <c r="L10"/>
      <c r="M10"/>
      <c r="N10"/>
      <c r="O10"/>
      <c r="P10"/>
      <c r="Q10"/>
      <c r="R10"/>
      <c r="S10"/>
      <c r="T10"/>
      <c r="U10"/>
      <c r="V10"/>
      <c r="W10">
        <v>1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s="62">
        <f t="shared" si="5"/>
        <v>1</v>
      </c>
      <c r="AP10" s="30" t="str">
        <f t="shared" si="6"/>
        <v>10</v>
      </c>
      <c r="AQ10" s="62">
        <f t="shared" si="7"/>
        <v>1</v>
      </c>
      <c r="AR10" s="63">
        <v>130030</v>
      </c>
      <c r="AS10" s="15">
        <f t="shared" si="8"/>
        <v>130030</v>
      </c>
      <c r="AT10" s="62" t="str">
        <f t="shared" si="9"/>
        <v>3</v>
      </c>
      <c r="AW10" s="64" t="str">
        <f t="shared" si="10"/>
        <v>Y</v>
      </c>
      <c r="AX10" s="64" t="str">
        <f t="shared" ca="1" si="11"/>
        <v>202602</v>
      </c>
      <c r="AY10" s="15">
        <f t="shared" si="12"/>
        <v>130030</v>
      </c>
    </row>
    <row r="11" spans="1:54" ht="16.5" x14ac:dyDescent="0.3">
      <c r="A11" s="32">
        <v>3</v>
      </c>
      <c r="B11" s="32" t="str">
        <f>'[1]근무일표(자동화)'!B14</f>
        <v>서미란</v>
      </c>
      <c r="C11" s="25" t="str">
        <f>_xlfn.IFNA(VLOOKUP(B11,[1]일용주민번호!A:B,2,0),"")</f>
        <v>5412092684210</v>
      </c>
      <c r="D11" s="32" t="str">
        <f t="shared" si="0"/>
        <v>100</v>
      </c>
      <c r="E11" s="25"/>
      <c r="F11" s="32" t="str">
        <f t="shared" si="1"/>
        <v>02</v>
      </c>
      <c r="G11" s="32" t="str">
        <f t="shared" si="2"/>
        <v>538</v>
      </c>
      <c r="H11" s="32" t="str">
        <f t="shared" si="3"/>
        <v>6933</v>
      </c>
      <c r="I11" s="32" t="str">
        <f t="shared" si="4"/>
        <v>615</v>
      </c>
      <c r="J11"/>
      <c r="K11"/>
      <c r="L11"/>
      <c r="M11"/>
      <c r="N11"/>
      <c r="O11"/>
      <c r="P11"/>
      <c r="Q11"/>
      <c r="R11"/>
      <c r="S11"/>
      <c r="T11"/>
      <c r="U11"/>
      <c r="V11"/>
      <c r="W11">
        <v>1</v>
      </c>
      <c r="X11">
        <v>1</v>
      </c>
      <c r="Y11">
        <v>1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s="62">
        <f t="shared" si="5"/>
        <v>3</v>
      </c>
      <c r="AP11" s="30" t="str">
        <f t="shared" si="6"/>
        <v>10</v>
      </c>
      <c r="AQ11" s="62">
        <f t="shared" si="7"/>
        <v>3</v>
      </c>
      <c r="AR11" s="63">
        <v>390090</v>
      </c>
      <c r="AS11" s="15">
        <f t="shared" si="8"/>
        <v>390090</v>
      </c>
      <c r="AT11" s="62" t="str">
        <f t="shared" si="9"/>
        <v>3</v>
      </c>
      <c r="AW11" s="64" t="str">
        <f t="shared" si="10"/>
        <v>Y</v>
      </c>
      <c r="AX11" s="64" t="str">
        <f t="shared" ca="1" si="11"/>
        <v>202602</v>
      </c>
      <c r="AY11" s="15">
        <f t="shared" si="12"/>
        <v>390090</v>
      </c>
    </row>
    <row r="12" spans="1:54" ht="16.5" x14ac:dyDescent="0.3">
      <c r="A12" s="32">
        <v>3</v>
      </c>
      <c r="B12" s="32" t="str">
        <f>'[1]근무일표(자동화)'!B15</f>
        <v>김광훈</v>
      </c>
      <c r="C12" s="25" t="str">
        <f>_xlfn.IFNA(VLOOKUP(B12,[1]일용주민번호!A:B,2,0),"")</f>
        <v>5910101773413</v>
      </c>
      <c r="D12" s="32" t="str">
        <f t="shared" si="0"/>
        <v>100</v>
      </c>
      <c r="E12" s="25"/>
      <c r="F12" s="32" t="str">
        <f t="shared" si="1"/>
        <v>02</v>
      </c>
      <c r="G12" s="32" t="str">
        <f t="shared" si="2"/>
        <v>538</v>
      </c>
      <c r="H12" s="32" t="str">
        <f t="shared" si="3"/>
        <v>6933</v>
      </c>
      <c r="I12" s="32" t="str">
        <f t="shared" si="4"/>
        <v>615</v>
      </c>
      <c r="J12"/>
      <c r="K12"/>
      <c r="L12">
        <v>1</v>
      </c>
      <c r="M12">
        <v>1</v>
      </c>
      <c r="N12"/>
      <c r="O12"/>
      <c r="P12"/>
      <c r="Q12"/>
      <c r="R12"/>
      <c r="S12">
        <v>1</v>
      </c>
      <c r="T12">
        <v>1</v>
      </c>
      <c r="U12"/>
      <c r="V12"/>
      <c r="W12"/>
      <c r="X12"/>
      <c r="Y12">
        <v>1</v>
      </c>
      <c r="Z12">
        <v>1</v>
      </c>
      <c r="AA12">
        <v>1</v>
      </c>
      <c r="AB12">
        <v>1</v>
      </c>
      <c r="AC12">
        <v>1</v>
      </c>
      <c r="AD12"/>
      <c r="AE12"/>
      <c r="AF12"/>
      <c r="AG12">
        <v>1</v>
      </c>
      <c r="AH12">
        <v>1</v>
      </c>
      <c r="AI12"/>
      <c r="AJ12"/>
      <c r="AK12"/>
      <c r="AL12"/>
      <c r="AM12"/>
      <c r="AN12"/>
      <c r="AO12" s="62">
        <f t="shared" si="5"/>
        <v>11</v>
      </c>
      <c r="AP12" s="30" t="str">
        <f t="shared" si="6"/>
        <v>10</v>
      </c>
      <c r="AQ12" s="62">
        <f t="shared" si="7"/>
        <v>11</v>
      </c>
      <c r="AR12" s="63">
        <v>1430330</v>
      </c>
      <c r="AS12" s="15">
        <f t="shared" si="8"/>
        <v>1430330</v>
      </c>
      <c r="AT12" s="62" t="str">
        <f t="shared" si="9"/>
        <v>3</v>
      </c>
      <c r="AW12" s="64" t="str">
        <f t="shared" si="10"/>
        <v>Y</v>
      </c>
      <c r="AX12" s="64" t="str">
        <f t="shared" ca="1" si="11"/>
        <v>202602</v>
      </c>
      <c r="AY12" s="15">
        <f t="shared" si="12"/>
        <v>1430330</v>
      </c>
    </row>
    <row r="13" spans="1:54" ht="16.5" x14ac:dyDescent="0.3">
      <c r="A13" s="32">
        <v>3</v>
      </c>
      <c r="B13" s="32" t="str">
        <f>'[1]근무일표(자동화)'!B16</f>
        <v>장옥연</v>
      </c>
      <c r="C13" s="25" t="str">
        <f>_xlfn.IFNA(VLOOKUP(B13,[1]일용주민번호!A:B,2,0),"")</f>
        <v>6102192322012</v>
      </c>
      <c r="D13" s="32" t="str">
        <f t="shared" si="0"/>
        <v>100</v>
      </c>
      <c r="E13" s="25"/>
      <c r="F13" s="32" t="str">
        <f t="shared" si="1"/>
        <v>02</v>
      </c>
      <c r="G13" s="32" t="str">
        <f t="shared" si="2"/>
        <v>538</v>
      </c>
      <c r="H13" s="32" t="str">
        <f t="shared" si="3"/>
        <v>6933</v>
      </c>
      <c r="I13" s="32" t="str">
        <f t="shared" si="4"/>
        <v>615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>
        <v>1</v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s="62">
        <f t="shared" si="5"/>
        <v>1</v>
      </c>
      <c r="AP13" s="30" t="str">
        <f t="shared" si="6"/>
        <v>10</v>
      </c>
      <c r="AQ13" s="62">
        <f t="shared" si="7"/>
        <v>1</v>
      </c>
      <c r="AR13" s="63">
        <v>117650</v>
      </c>
      <c r="AS13" s="15">
        <f t="shared" si="8"/>
        <v>117650</v>
      </c>
      <c r="AT13" s="62" t="str">
        <f t="shared" si="9"/>
        <v>3</v>
      </c>
      <c r="AW13" s="64" t="str">
        <f t="shared" si="10"/>
        <v>Y</v>
      </c>
      <c r="AX13" s="64" t="str">
        <f t="shared" ca="1" si="11"/>
        <v>202602</v>
      </c>
      <c r="AY13" s="15">
        <f t="shared" si="12"/>
        <v>117650</v>
      </c>
    </row>
    <row r="14" spans="1:54" ht="16.5" x14ac:dyDescent="0.3">
      <c r="A14" s="32">
        <v>3</v>
      </c>
      <c r="B14" s="32" t="str">
        <f>'[1]근무일표(자동화)'!B17</f>
        <v>이성준</v>
      </c>
      <c r="C14" s="25" t="str">
        <f>_xlfn.IFNA(VLOOKUP(B14,[1]일용주민번호!A:B,2,0),"")</f>
        <v>0312113798112</v>
      </c>
      <c r="D14" s="32" t="str">
        <f t="shared" si="0"/>
        <v>100</v>
      </c>
      <c r="E14" s="25"/>
      <c r="F14" s="32" t="str">
        <f t="shared" si="1"/>
        <v>02</v>
      </c>
      <c r="G14" s="32" t="str">
        <f t="shared" si="2"/>
        <v>538</v>
      </c>
      <c r="H14" s="32" t="str">
        <f t="shared" si="3"/>
        <v>6933</v>
      </c>
      <c r="I14" s="32" t="str">
        <f t="shared" si="4"/>
        <v>615</v>
      </c>
      <c r="J14"/>
      <c r="K14"/>
      <c r="L14"/>
      <c r="M14"/>
      <c r="N14"/>
      <c r="O14"/>
      <c r="P14"/>
      <c r="Q14"/>
      <c r="R14"/>
      <c r="S14"/>
      <c r="T14"/>
      <c r="U14"/>
      <c r="V14"/>
      <c r="W14">
        <v>1</v>
      </c>
      <c r="X14">
        <v>1</v>
      </c>
      <c r="Y14">
        <v>1</v>
      </c>
      <c r="Z14">
        <v>1</v>
      </c>
      <c r="AA14">
        <v>1</v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s="62">
        <f t="shared" si="5"/>
        <v>5</v>
      </c>
      <c r="AP14" s="30" t="str">
        <f t="shared" si="6"/>
        <v>10</v>
      </c>
      <c r="AQ14" s="62">
        <f t="shared" si="7"/>
        <v>5</v>
      </c>
      <c r="AR14" s="63">
        <v>650150</v>
      </c>
      <c r="AS14" s="15">
        <f t="shared" si="8"/>
        <v>650150</v>
      </c>
      <c r="AT14" s="62" t="str">
        <f t="shared" si="9"/>
        <v>3</v>
      </c>
      <c r="AW14" s="64" t="str">
        <f t="shared" si="10"/>
        <v>Y</v>
      </c>
      <c r="AX14" s="64" t="str">
        <f t="shared" ca="1" si="11"/>
        <v>202602</v>
      </c>
      <c r="AY14" s="15">
        <f t="shared" si="12"/>
        <v>650150</v>
      </c>
    </row>
    <row r="15" spans="1:54" ht="16.5" x14ac:dyDescent="0.3">
      <c r="A15" s="32">
        <v>3</v>
      </c>
      <c r="B15" s="32" t="str">
        <f>'[1]근무일표(자동화)'!B18</f>
        <v>이양산</v>
      </c>
      <c r="C15" s="25" t="str">
        <f>_xlfn.IFNA(VLOOKUP(B15,[1]일용주민번호!A:B,2,0),"")</f>
        <v>5702012908221</v>
      </c>
      <c r="D15" s="32" t="str">
        <f t="shared" si="0"/>
        <v>100</v>
      </c>
      <c r="E15" s="25"/>
      <c r="F15" s="32" t="str">
        <f t="shared" si="1"/>
        <v>02</v>
      </c>
      <c r="G15" s="32" t="str">
        <f t="shared" si="2"/>
        <v>538</v>
      </c>
      <c r="H15" s="32" t="str">
        <f t="shared" si="3"/>
        <v>6933</v>
      </c>
      <c r="I15" s="32" t="str">
        <f t="shared" si="4"/>
        <v>615</v>
      </c>
      <c r="J15">
        <v>1</v>
      </c>
      <c r="K15"/>
      <c r="L15"/>
      <c r="M15"/>
      <c r="N15"/>
      <c r="O15">
        <v>1</v>
      </c>
      <c r="P15">
        <v>1</v>
      </c>
      <c r="Q15">
        <v>1</v>
      </c>
      <c r="R15"/>
      <c r="S15"/>
      <c r="T15"/>
      <c r="U15"/>
      <c r="V15">
        <v>1</v>
      </c>
      <c r="W15"/>
      <c r="X15"/>
      <c r="Y15"/>
      <c r="Z15"/>
      <c r="AA15">
        <v>1</v>
      </c>
      <c r="AB15">
        <v>1</v>
      </c>
      <c r="AC15">
        <v>1</v>
      </c>
      <c r="AD15">
        <v>1</v>
      </c>
      <c r="AE15">
        <v>1</v>
      </c>
      <c r="AF15"/>
      <c r="AG15"/>
      <c r="AH15">
        <v>1</v>
      </c>
      <c r="AI15">
        <v>1</v>
      </c>
      <c r="AJ15"/>
      <c r="AK15"/>
      <c r="AL15"/>
      <c r="AM15"/>
      <c r="AN15"/>
      <c r="AO15" s="62">
        <f t="shared" si="5"/>
        <v>12</v>
      </c>
      <c r="AP15" s="30" t="str">
        <f t="shared" si="6"/>
        <v>10</v>
      </c>
      <c r="AQ15" s="62">
        <f t="shared" si="7"/>
        <v>12</v>
      </c>
      <c r="AR15" s="63">
        <v>1411800</v>
      </c>
      <c r="AS15" s="15">
        <f t="shared" si="8"/>
        <v>1411800</v>
      </c>
      <c r="AT15" s="62" t="str">
        <f t="shared" si="9"/>
        <v>3</v>
      </c>
      <c r="AW15" s="64" t="str">
        <f t="shared" si="10"/>
        <v>Y</v>
      </c>
      <c r="AX15" s="64" t="str">
        <f t="shared" ca="1" si="11"/>
        <v>202602</v>
      </c>
      <c r="AY15" s="15">
        <f t="shared" si="12"/>
        <v>1411800</v>
      </c>
    </row>
    <row r="16" spans="1:54" ht="16.5" x14ac:dyDescent="0.3">
      <c r="A16" s="32">
        <v>3</v>
      </c>
      <c r="B16" s="32" t="str">
        <f>'[1]근무일표(자동화)'!B19</f>
        <v>정옥선</v>
      </c>
      <c r="C16" s="25" t="str">
        <f>_xlfn.IFNA(VLOOKUP(B16,[1]일용주민번호!A:B,2,0),"")</f>
        <v>5912052235616</v>
      </c>
      <c r="D16" s="32" t="str">
        <f t="shared" si="0"/>
        <v>100</v>
      </c>
      <c r="E16" s="25"/>
      <c r="F16" s="32" t="str">
        <f t="shared" si="1"/>
        <v>02</v>
      </c>
      <c r="G16" s="32" t="str">
        <f t="shared" si="2"/>
        <v>538</v>
      </c>
      <c r="H16" s="32" t="str">
        <f t="shared" si="3"/>
        <v>6933</v>
      </c>
      <c r="I16" s="32" t="str">
        <f t="shared" si="4"/>
        <v>615</v>
      </c>
      <c r="J16">
        <v>1</v>
      </c>
      <c r="K16"/>
      <c r="L16">
        <v>1</v>
      </c>
      <c r="M16">
        <v>1</v>
      </c>
      <c r="N16"/>
      <c r="O16">
        <v>1</v>
      </c>
      <c r="P16"/>
      <c r="Q16"/>
      <c r="R16"/>
      <c r="S16">
        <v>1</v>
      </c>
      <c r="T16">
        <v>1</v>
      </c>
      <c r="U16">
        <v>1</v>
      </c>
      <c r="V16">
        <v>1</v>
      </c>
      <c r="W16"/>
      <c r="X16"/>
      <c r="Y16"/>
      <c r="Z16"/>
      <c r="AA16"/>
      <c r="AB16">
        <v>1</v>
      </c>
      <c r="AC16">
        <v>1</v>
      </c>
      <c r="AD16">
        <v>1</v>
      </c>
      <c r="AE16">
        <v>1</v>
      </c>
      <c r="AF16"/>
      <c r="AG16"/>
      <c r="AH16">
        <v>1</v>
      </c>
      <c r="AI16">
        <v>1</v>
      </c>
      <c r="AJ16">
        <v>1</v>
      </c>
      <c r="AK16">
        <v>1</v>
      </c>
      <c r="AL16"/>
      <c r="AM16"/>
      <c r="AN16"/>
      <c r="AO16" s="62">
        <f t="shared" si="5"/>
        <v>16</v>
      </c>
      <c r="AP16" s="30" t="str">
        <f t="shared" si="6"/>
        <v>10</v>
      </c>
      <c r="AQ16" s="62">
        <f t="shared" si="7"/>
        <v>16</v>
      </c>
      <c r="AR16" s="63">
        <v>2080480</v>
      </c>
      <c r="AS16" s="15">
        <f t="shared" si="8"/>
        <v>2080480</v>
      </c>
      <c r="AT16" s="62" t="str">
        <f t="shared" si="9"/>
        <v>3</v>
      </c>
      <c r="AW16" s="64" t="str">
        <f t="shared" si="10"/>
        <v>Y</v>
      </c>
      <c r="AX16" s="64" t="str">
        <f t="shared" ca="1" si="11"/>
        <v>202602</v>
      </c>
      <c r="AY16" s="15">
        <f t="shared" si="12"/>
        <v>2080480</v>
      </c>
    </row>
    <row r="17" spans="1:51" ht="16.5" x14ac:dyDescent="0.3">
      <c r="A17" s="32">
        <v>3</v>
      </c>
      <c r="B17" s="32" t="str">
        <f>'[1]근무일표(자동화)'!B20</f>
        <v>권기남</v>
      </c>
      <c r="C17" s="25" t="str">
        <f>_xlfn.IFNA(VLOOKUP(B17,[1]일용주민번호!A:B,2,0),"")</f>
        <v>0310153902315</v>
      </c>
      <c r="D17" s="32" t="str">
        <f t="shared" si="0"/>
        <v>100</v>
      </c>
      <c r="E17" s="25"/>
      <c r="F17" s="32" t="str">
        <f t="shared" si="1"/>
        <v>02</v>
      </c>
      <c r="G17" s="32" t="str">
        <f t="shared" si="2"/>
        <v>538</v>
      </c>
      <c r="H17" s="32" t="str">
        <f t="shared" si="3"/>
        <v>6933</v>
      </c>
      <c r="I17" s="32" t="str">
        <f t="shared" si="4"/>
        <v>615</v>
      </c>
      <c r="J17"/>
      <c r="K17">
        <v>1</v>
      </c>
      <c r="L17"/>
      <c r="M17">
        <v>1</v>
      </c>
      <c r="N17"/>
      <c r="O17">
        <v>1</v>
      </c>
      <c r="P17"/>
      <c r="Q17"/>
      <c r="R17">
        <v>1</v>
      </c>
      <c r="S17">
        <v>1</v>
      </c>
      <c r="T17"/>
      <c r="U17"/>
      <c r="V17"/>
      <c r="W17"/>
      <c r="X17">
        <v>1</v>
      </c>
      <c r="Y17">
        <v>1</v>
      </c>
      <c r="Z17">
        <v>1</v>
      </c>
      <c r="AA17"/>
      <c r="AB17">
        <v>1</v>
      </c>
      <c r="AC17">
        <v>1</v>
      </c>
      <c r="AD17"/>
      <c r="AE17"/>
      <c r="AF17">
        <v>1</v>
      </c>
      <c r="AG17">
        <v>1</v>
      </c>
      <c r="AH17">
        <v>1</v>
      </c>
      <c r="AI17">
        <v>1</v>
      </c>
      <c r="AJ17">
        <v>1</v>
      </c>
      <c r="AK17"/>
      <c r="AL17"/>
      <c r="AM17"/>
      <c r="AN17"/>
      <c r="AO17" s="62">
        <f t="shared" si="5"/>
        <v>15</v>
      </c>
      <c r="AP17" s="30" t="str">
        <f t="shared" si="6"/>
        <v>10</v>
      </c>
      <c r="AQ17" s="62">
        <f t="shared" si="7"/>
        <v>15</v>
      </c>
      <c r="AR17" s="63">
        <v>1646000</v>
      </c>
      <c r="AS17" s="15">
        <f t="shared" si="8"/>
        <v>1646000</v>
      </c>
      <c r="AT17" s="62" t="str">
        <f t="shared" si="9"/>
        <v>3</v>
      </c>
      <c r="AW17" s="64" t="str">
        <f t="shared" si="10"/>
        <v>Y</v>
      </c>
      <c r="AX17" s="64" t="str">
        <f t="shared" ca="1" si="11"/>
        <v>202602</v>
      </c>
      <c r="AY17" s="15">
        <f t="shared" si="12"/>
        <v>1646000</v>
      </c>
    </row>
    <row r="18" spans="1:51" ht="16.5" x14ac:dyDescent="0.3">
      <c r="A18" s="32">
        <v>3</v>
      </c>
      <c r="B18" s="32" t="str">
        <f>'[1]근무일표(자동화)'!B21</f>
        <v>손보경</v>
      </c>
      <c r="C18" s="25" t="str">
        <f>_xlfn.IFNA(VLOOKUP(B18,[1]일용주민번호!A:B,2,0),"")</f>
        <v>0912184861410</v>
      </c>
      <c r="D18" s="32" t="str">
        <f t="shared" si="0"/>
        <v>100</v>
      </c>
      <c r="E18" s="25"/>
      <c r="F18" s="32" t="str">
        <f t="shared" si="1"/>
        <v>02</v>
      </c>
      <c r="G18" s="32" t="str">
        <f t="shared" si="2"/>
        <v>538</v>
      </c>
      <c r="H18" s="32" t="str">
        <f t="shared" si="3"/>
        <v>6933</v>
      </c>
      <c r="I18" s="32" t="str">
        <f t="shared" si="4"/>
        <v>615</v>
      </c>
      <c r="J18"/>
      <c r="K18"/>
      <c r="L18"/>
      <c r="M18"/>
      <c r="N18"/>
      <c r="O18"/>
      <c r="P18"/>
      <c r="Q18"/>
      <c r="R18"/>
      <c r="S18"/>
      <c r="T18"/>
      <c r="U18"/>
      <c r="V18"/>
      <c r="W18">
        <v>1</v>
      </c>
      <c r="X18">
        <v>1</v>
      </c>
      <c r="Y18">
        <v>1</v>
      </c>
      <c r="Z18">
        <v>1</v>
      </c>
      <c r="AA18"/>
      <c r="AB18">
        <v>1</v>
      </c>
      <c r="AC18">
        <v>1</v>
      </c>
      <c r="AD18"/>
      <c r="AE18"/>
      <c r="AF18"/>
      <c r="AG18"/>
      <c r="AH18"/>
      <c r="AI18"/>
      <c r="AJ18"/>
      <c r="AK18"/>
      <c r="AL18"/>
      <c r="AM18"/>
      <c r="AN18"/>
      <c r="AO18" s="62">
        <f t="shared" si="5"/>
        <v>6</v>
      </c>
      <c r="AP18" s="30" t="str">
        <f t="shared" si="6"/>
        <v>10</v>
      </c>
      <c r="AQ18" s="62">
        <f t="shared" si="7"/>
        <v>6</v>
      </c>
      <c r="AR18" s="63">
        <v>640000</v>
      </c>
      <c r="AS18" s="15">
        <f t="shared" si="8"/>
        <v>640000</v>
      </c>
      <c r="AT18" s="62" t="str">
        <f t="shared" si="9"/>
        <v>3</v>
      </c>
      <c r="AW18" s="64" t="str">
        <f t="shared" si="10"/>
        <v>Y</v>
      </c>
      <c r="AX18" s="64" t="str">
        <f t="shared" ca="1" si="11"/>
        <v>202602</v>
      </c>
      <c r="AY18" s="15">
        <f t="shared" si="12"/>
        <v>640000</v>
      </c>
    </row>
    <row r="19" spans="1:51" ht="16.5" x14ac:dyDescent="0.3">
      <c r="A19" s="32">
        <v>3</v>
      </c>
      <c r="B19" s="32" t="str">
        <f>'[1]근무일표(자동화)'!B22</f>
        <v>유도온</v>
      </c>
      <c r="C19" s="25" t="str">
        <f>_xlfn.IFNA(VLOOKUP(B19,[1]일용주민번호!A:B,2,0),"")</f>
        <v>8509242852341</v>
      </c>
      <c r="D19" s="32" t="str">
        <f t="shared" si="0"/>
        <v>100</v>
      </c>
      <c r="E19" s="25"/>
      <c r="F19" s="32" t="str">
        <f t="shared" si="1"/>
        <v>02</v>
      </c>
      <c r="G19" s="32" t="str">
        <f t="shared" si="2"/>
        <v>538</v>
      </c>
      <c r="H19" s="32" t="str">
        <f t="shared" si="3"/>
        <v>6933</v>
      </c>
      <c r="I19" s="32" t="str">
        <f t="shared" si="4"/>
        <v>615</v>
      </c>
      <c r="J19"/>
      <c r="K19"/>
      <c r="L19"/>
      <c r="M19"/>
      <c r="N19"/>
      <c r="O19"/>
      <c r="P19"/>
      <c r="Q19"/>
      <c r="R19"/>
      <c r="S19"/>
      <c r="T19"/>
      <c r="U19"/>
      <c r="V19"/>
      <c r="W19">
        <v>1</v>
      </c>
      <c r="X19">
        <v>1</v>
      </c>
      <c r="Y19">
        <v>1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s="62">
        <f t="shared" si="5"/>
        <v>3</v>
      </c>
      <c r="AP19" s="30" t="str">
        <f t="shared" si="6"/>
        <v>10</v>
      </c>
      <c r="AQ19" s="62">
        <f t="shared" si="7"/>
        <v>3</v>
      </c>
      <c r="AR19" s="63">
        <v>393000</v>
      </c>
      <c r="AS19" s="15">
        <f t="shared" si="8"/>
        <v>393000</v>
      </c>
      <c r="AT19" s="62" t="str">
        <f t="shared" si="9"/>
        <v>3</v>
      </c>
      <c r="AW19" s="64" t="str">
        <f t="shared" si="10"/>
        <v>Y</v>
      </c>
      <c r="AX19" s="64" t="str">
        <f t="shared" ca="1" si="11"/>
        <v>202602</v>
      </c>
      <c r="AY19" s="15">
        <f t="shared" si="12"/>
        <v>393000</v>
      </c>
    </row>
    <row r="20" spans="1:51" ht="16.5" x14ac:dyDescent="0.3">
      <c r="A20" s="32">
        <v>3</v>
      </c>
      <c r="B20" s="32" t="str">
        <f>'[1]근무일표(자동화)'!B23</f>
        <v>김미진</v>
      </c>
      <c r="C20" s="25" t="str">
        <f>_xlfn.IFNA(VLOOKUP(B20,[1]일용주민번호!A:B,2,0),"")</f>
        <v>0103024693111</v>
      </c>
      <c r="D20" s="32" t="str">
        <f t="shared" si="0"/>
        <v>100</v>
      </c>
      <c r="E20" s="25"/>
      <c r="F20" s="32" t="str">
        <f t="shared" si="1"/>
        <v>02</v>
      </c>
      <c r="G20" s="32" t="str">
        <f t="shared" si="2"/>
        <v>538</v>
      </c>
      <c r="H20" s="32" t="str">
        <f t="shared" si="3"/>
        <v>6933</v>
      </c>
      <c r="I20" s="32" t="str">
        <f t="shared" si="4"/>
        <v>615</v>
      </c>
      <c r="J20">
        <v>1</v>
      </c>
      <c r="K20">
        <v>1</v>
      </c>
      <c r="L20">
        <v>1</v>
      </c>
      <c r="M20">
        <v>1</v>
      </c>
      <c r="N20"/>
      <c r="O20"/>
      <c r="P20"/>
      <c r="Q20">
        <v>1</v>
      </c>
      <c r="R20">
        <v>1</v>
      </c>
      <c r="S20">
        <v>1</v>
      </c>
      <c r="T20">
        <v>1</v>
      </c>
      <c r="U20">
        <v>1</v>
      </c>
      <c r="V20"/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/>
      <c r="AD20"/>
      <c r="AE20">
        <v>1</v>
      </c>
      <c r="AF20">
        <v>1</v>
      </c>
      <c r="AG20">
        <v>1</v>
      </c>
      <c r="AH20">
        <v>1</v>
      </c>
      <c r="AI20">
        <v>1</v>
      </c>
      <c r="AJ20"/>
      <c r="AK20"/>
      <c r="AO20" s="62">
        <f t="shared" ref="AO20:AO58" si="13">IF($B20="","",COUNTIF(J20:AN20,"=1"))</f>
        <v>20</v>
      </c>
      <c r="AP20" s="30" t="str">
        <f t="shared" si="6"/>
        <v>10</v>
      </c>
      <c r="AQ20" s="62">
        <f t="shared" ref="AQ20:AQ58" si="14">AO20</f>
        <v>20</v>
      </c>
      <c r="AR20" s="63">
        <v>2600600</v>
      </c>
      <c r="AS20" s="15">
        <f t="shared" ref="AS20:AS58" si="15">AR20</f>
        <v>2600600</v>
      </c>
      <c r="AT20" s="62" t="str">
        <f t="shared" si="9"/>
        <v>3</v>
      </c>
      <c r="AW20" s="64" t="str">
        <f t="shared" si="10"/>
        <v>Y</v>
      </c>
      <c r="AX20" s="64" t="str">
        <f t="shared" ca="1" si="11"/>
        <v>202602</v>
      </c>
      <c r="AY20" s="15">
        <f t="shared" ref="AY20:AY58" si="16">AR20</f>
        <v>2600600</v>
      </c>
    </row>
    <row r="21" spans="1:51" ht="16.5" x14ac:dyDescent="0.3">
      <c r="A21" s="32">
        <v>3</v>
      </c>
      <c r="B21" s="32" t="str">
        <f>'[1]근무일표(자동화)'!B24</f>
        <v>강정분</v>
      </c>
      <c r="C21" s="25" t="str">
        <f>_xlfn.IFNA(VLOOKUP(B21,[1]일용주민번호!A:B,2,0),"")</f>
        <v>5104202922915</v>
      </c>
      <c r="D21" s="32" t="str">
        <f t="shared" si="0"/>
        <v>100</v>
      </c>
      <c r="E21" s="25"/>
      <c r="F21" s="32" t="str">
        <f t="shared" si="1"/>
        <v>02</v>
      </c>
      <c r="G21" s="32" t="str">
        <f t="shared" si="2"/>
        <v>538</v>
      </c>
      <c r="H21" s="32" t="str">
        <f t="shared" si="3"/>
        <v>6933</v>
      </c>
      <c r="I21" s="32" t="str">
        <f t="shared" si="4"/>
        <v>615</v>
      </c>
      <c r="J21">
        <v>1</v>
      </c>
      <c r="K21"/>
      <c r="L21"/>
      <c r="M21"/>
      <c r="N21"/>
      <c r="O21">
        <v>1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O21" s="62">
        <f t="shared" si="13"/>
        <v>2</v>
      </c>
      <c r="AP21" s="30" t="str">
        <f t="shared" si="6"/>
        <v>10</v>
      </c>
      <c r="AQ21" s="62">
        <f t="shared" si="14"/>
        <v>2</v>
      </c>
      <c r="AR21" s="63">
        <v>235300</v>
      </c>
      <c r="AS21" s="15">
        <f t="shared" si="15"/>
        <v>235300</v>
      </c>
      <c r="AT21" s="62" t="str">
        <f t="shared" si="9"/>
        <v>3</v>
      </c>
      <c r="AW21" s="64" t="str">
        <f t="shared" si="10"/>
        <v>Y</v>
      </c>
      <c r="AX21" s="64" t="str">
        <f t="shared" ca="1" si="11"/>
        <v>202602</v>
      </c>
      <c r="AY21" s="15">
        <f t="shared" si="16"/>
        <v>235300</v>
      </c>
    </row>
    <row r="22" spans="1:51" ht="16.5" x14ac:dyDescent="0.3">
      <c r="A22" s="32">
        <v>3</v>
      </c>
      <c r="B22" s="32" t="str">
        <f>'[1]근무일표(자동화)'!B25</f>
        <v>정건아</v>
      </c>
      <c r="C22" s="25" t="str">
        <f>_xlfn.IFNA(VLOOKUP(B22,[1]일용주민번호!A:B,2,0),"")</f>
        <v>0103243697818</v>
      </c>
      <c r="D22" s="32" t="str">
        <f t="shared" si="0"/>
        <v>100</v>
      </c>
      <c r="E22" s="25"/>
      <c r="F22" s="32" t="str">
        <f t="shared" si="1"/>
        <v>02</v>
      </c>
      <c r="G22" s="32" t="str">
        <f t="shared" si="2"/>
        <v>538</v>
      </c>
      <c r="H22" s="32" t="str">
        <f t="shared" si="3"/>
        <v>6933</v>
      </c>
      <c r="I22" s="32" t="str">
        <f t="shared" si="4"/>
        <v>615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>
        <v>1</v>
      </c>
      <c r="Z22">
        <v>1</v>
      </c>
      <c r="AA22"/>
      <c r="AB22"/>
      <c r="AC22"/>
      <c r="AD22"/>
      <c r="AE22"/>
      <c r="AF22"/>
      <c r="AG22"/>
      <c r="AH22"/>
      <c r="AI22"/>
      <c r="AJ22"/>
      <c r="AK22"/>
      <c r="AO22" s="62">
        <f t="shared" si="13"/>
        <v>2</v>
      </c>
      <c r="AP22" s="30" t="str">
        <f t="shared" si="6"/>
        <v>10</v>
      </c>
      <c r="AQ22" s="62">
        <f t="shared" si="14"/>
        <v>2</v>
      </c>
      <c r="AR22" s="63">
        <v>260060</v>
      </c>
      <c r="AS22" s="15">
        <f t="shared" si="15"/>
        <v>260060</v>
      </c>
      <c r="AT22" s="62" t="str">
        <f t="shared" si="9"/>
        <v>3</v>
      </c>
      <c r="AW22" s="64" t="str">
        <f t="shared" si="10"/>
        <v>Y</v>
      </c>
      <c r="AX22" s="64" t="str">
        <f t="shared" ca="1" si="11"/>
        <v>202602</v>
      </c>
      <c r="AY22" s="15">
        <f t="shared" si="16"/>
        <v>260060</v>
      </c>
    </row>
    <row r="23" spans="1:51" ht="16.5" x14ac:dyDescent="0.3">
      <c r="A23" s="32">
        <v>3</v>
      </c>
      <c r="B23" s="32" t="str">
        <f>'[1]근무일표(자동화)'!B26</f>
        <v>정춘희</v>
      </c>
      <c r="C23" s="25" t="str">
        <f>_xlfn.IFNA(VLOOKUP(B23,[1]일용주민번호!A:B,2,0),"")</f>
        <v>8303192348511</v>
      </c>
      <c r="D23" s="32" t="str">
        <f t="shared" si="0"/>
        <v>100</v>
      </c>
      <c r="E23" s="25"/>
      <c r="F23" s="32" t="str">
        <f t="shared" si="1"/>
        <v>02</v>
      </c>
      <c r="G23" s="32" t="str">
        <f t="shared" si="2"/>
        <v>538</v>
      </c>
      <c r="H23" s="32" t="str">
        <f t="shared" si="3"/>
        <v>6933</v>
      </c>
      <c r="I23" s="32" t="str">
        <f t="shared" si="4"/>
        <v>615</v>
      </c>
      <c r="J23"/>
      <c r="K23">
        <v>1</v>
      </c>
      <c r="L23">
        <v>1</v>
      </c>
      <c r="M23">
        <v>1</v>
      </c>
      <c r="N23"/>
      <c r="O23"/>
      <c r="P23">
        <v>1</v>
      </c>
      <c r="Q23">
        <v>1</v>
      </c>
      <c r="R23">
        <v>1</v>
      </c>
      <c r="S23">
        <v>1</v>
      </c>
      <c r="T23"/>
      <c r="U23"/>
      <c r="V23"/>
      <c r="W23"/>
      <c r="X23"/>
      <c r="Y23">
        <v>1</v>
      </c>
      <c r="Z23">
        <v>1</v>
      </c>
      <c r="AA23">
        <v>1</v>
      </c>
      <c r="AB23">
        <v>1</v>
      </c>
      <c r="AC23"/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/>
      <c r="AO23" s="62">
        <f t="shared" si="13"/>
        <v>18</v>
      </c>
      <c r="AP23" s="30" t="str">
        <f t="shared" si="6"/>
        <v>10</v>
      </c>
      <c r="AQ23" s="62">
        <f t="shared" si="14"/>
        <v>18</v>
      </c>
      <c r="AR23" s="63">
        <v>2356020</v>
      </c>
      <c r="AS23" s="15">
        <f t="shared" si="15"/>
        <v>2356020</v>
      </c>
      <c r="AT23" s="62" t="str">
        <f t="shared" si="9"/>
        <v>3</v>
      </c>
      <c r="AW23" s="64" t="str">
        <f t="shared" si="10"/>
        <v>Y</v>
      </c>
      <c r="AX23" s="64" t="str">
        <f t="shared" ca="1" si="11"/>
        <v>202602</v>
      </c>
      <c r="AY23" s="15">
        <f t="shared" si="16"/>
        <v>2356020</v>
      </c>
    </row>
    <row r="24" spans="1:51" ht="16.5" x14ac:dyDescent="0.3">
      <c r="A24" s="32">
        <v>3</v>
      </c>
      <c r="B24" s="32" t="str">
        <f>'[1]근무일표(자동화)'!B27</f>
        <v>임정현</v>
      </c>
      <c r="C24" s="25" t="str">
        <f>_xlfn.IFNA(VLOOKUP(B24,[1]일용주민번호!A:B,2,0),"")</f>
        <v>0701013803229</v>
      </c>
      <c r="D24" s="32" t="str">
        <f t="shared" si="0"/>
        <v>100</v>
      </c>
      <c r="E24" s="25"/>
      <c r="F24" s="32" t="str">
        <f t="shared" si="1"/>
        <v>02</v>
      </c>
      <c r="G24" s="32" t="str">
        <f t="shared" si="2"/>
        <v>538</v>
      </c>
      <c r="H24" s="32" t="str">
        <f t="shared" si="3"/>
        <v>6933</v>
      </c>
      <c r="I24" s="32" t="str">
        <f t="shared" si="4"/>
        <v>615</v>
      </c>
      <c r="J24"/>
      <c r="K24"/>
      <c r="L24"/>
      <c r="M24"/>
      <c r="N24"/>
      <c r="O24"/>
      <c r="P24"/>
      <c r="Q24"/>
      <c r="R24"/>
      <c r="S24"/>
      <c r="T24"/>
      <c r="U24"/>
      <c r="V24"/>
      <c r="W24">
        <v>1</v>
      </c>
      <c r="X24">
        <v>1</v>
      </c>
      <c r="Y24"/>
      <c r="Z24">
        <v>1</v>
      </c>
      <c r="AA24"/>
      <c r="AB24"/>
      <c r="AC24"/>
      <c r="AD24"/>
      <c r="AE24"/>
      <c r="AF24"/>
      <c r="AG24"/>
      <c r="AH24"/>
      <c r="AI24"/>
      <c r="AJ24"/>
      <c r="AK24"/>
      <c r="AO24" s="62">
        <f t="shared" si="13"/>
        <v>3</v>
      </c>
      <c r="AP24" s="30" t="str">
        <f t="shared" si="6"/>
        <v>10</v>
      </c>
      <c r="AQ24" s="62">
        <f t="shared" si="14"/>
        <v>3</v>
      </c>
      <c r="AR24" s="63">
        <v>483180</v>
      </c>
      <c r="AS24" s="15">
        <f t="shared" si="15"/>
        <v>483180</v>
      </c>
      <c r="AT24" s="62" t="str">
        <f t="shared" si="9"/>
        <v>3</v>
      </c>
      <c r="AW24" s="64" t="str">
        <f t="shared" si="10"/>
        <v>Y</v>
      </c>
      <c r="AX24" s="64" t="str">
        <f t="shared" ca="1" si="11"/>
        <v>202602</v>
      </c>
      <c r="AY24" s="15">
        <f t="shared" si="16"/>
        <v>483180</v>
      </c>
    </row>
    <row r="25" spans="1:51" ht="16.5" x14ac:dyDescent="0.3">
      <c r="A25" s="32">
        <v>3</v>
      </c>
      <c r="B25" s="32" t="str">
        <f>'[1]근무일표(자동화)'!B28</f>
        <v>조용조</v>
      </c>
      <c r="C25" s="25" t="str">
        <f>_xlfn.IFNA(VLOOKUP(B25,[1]일용주민번호!A:B,2,0),"")</f>
        <v>9210161698119</v>
      </c>
      <c r="D25" s="32" t="str">
        <f t="shared" si="0"/>
        <v>100</v>
      </c>
      <c r="E25" s="25"/>
      <c r="F25" s="32" t="str">
        <f t="shared" si="1"/>
        <v>02</v>
      </c>
      <c r="G25" s="32" t="str">
        <f t="shared" si="2"/>
        <v>538</v>
      </c>
      <c r="H25" s="32" t="str">
        <f t="shared" si="3"/>
        <v>6933</v>
      </c>
      <c r="I25" s="32" t="str">
        <f t="shared" si="4"/>
        <v>615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>
        <v>1</v>
      </c>
      <c r="Y25">
        <v>1</v>
      </c>
      <c r="Z25">
        <v>1</v>
      </c>
      <c r="AA25">
        <v>1</v>
      </c>
      <c r="AB25"/>
      <c r="AC25"/>
      <c r="AD25"/>
      <c r="AE25"/>
      <c r="AF25"/>
      <c r="AG25"/>
      <c r="AH25"/>
      <c r="AI25"/>
      <c r="AJ25"/>
      <c r="AK25"/>
      <c r="AO25" s="62">
        <f t="shared" si="13"/>
        <v>4</v>
      </c>
      <c r="AP25" s="30" t="str">
        <f t="shared" si="6"/>
        <v>10</v>
      </c>
      <c r="AQ25" s="62">
        <f t="shared" si="14"/>
        <v>4</v>
      </c>
      <c r="AR25" s="63">
        <v>520120</v>
      </c>
      <c r="AS25" s="15">
        <f t="shared" si="15"/>
        <v>520120</v>
      </c>
      <c r="AT25" s="62" t="str">
        <f t="shared" si="9"/>
        <v>3</v>
      </c>
      <c r="AW25" s="64" t="str">
        <f t="shared" si="10"/>
        <v>Y</v>
      </c>
      <c r="AX25" s="64" t="str">
        <f t="shared" ca="1" si="11"/>
        <v>202602</v>
      </c>
      <c r="AY25" s="15">
        <f t="shared" si="16"/>
        <v>520120</v>
      </c>
    </row>
    <row r="26" spans="1:51" ht="16.5" x14ac:dyDescent="0.3">
      <c r="A26" s="32">
        <v>3</v>
      </c>
      <c r="B26" s="32" t="str">
        <f>'[1]근무일표(자동화)'!B29</f>
        <v>용재선</v>
      </c>
      <c r="C26" s="25" t="str">
        <f>_xlfn.IFNA(VLOOKUP(B26,[1]일용주민번호!A:B,2,0),"")</f>
        <v>6509102927612</v>
      </c>
      <c r="D26" s="32" t="str">
        <f t="shared" si="0"/>
        <v>100</v>
      </c>
      <c r="E26" s="25"/>
      <c r="F26" s="32" t="str">
        <f t="shared" si="1"/>
        <v>02</v>
      </c>
      <c r="G26" s="32" t="str">
        <f t="shared" si="2"/>
        <v>538</v>
      </c>
      <c r="H26" s="32" t="str">
        <f t="shared" si="3"/>
        <v>6933</v>
      </c>
      <c r="I26" s="32" t="str">
        <f t="shared" si="4"/>
        <v>615</v>
      </c>
      <c r="J26"/>
      <c r="K26">
        <v>1</v>
      </c>
      <c r="L26">
        <v>1</v>
      </c>
      <c r="M26">
        <v>1</v>
      </c>
      <c r="N26">
        <v>1</v>
      </c>
      <c r="O26"/>
      <c r="P26">
        <v>1</v>
      </c>
      <c r="Q26">
        <v>1</v>
      </c>
      <c r="R26">
        <v>1</v>
      </c>
      <c r="S26">
        <v>1</v>
      </c>
      <c r="T26">
        <v>1</v>
      </c>
      <c r="U26"/>
      <c r="V26"/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/>
      <c r="AE26"/>
      <c r="AF26">
        <v>1</v>
      </c>
      <c r="AG26">
        <v>1</v>
      </c>
      <c r="AH26">
        <v>1</v>
      </c>
      <c r="AI26">
        <v>1</v>
      </c>
      <c r="AJ26"/>
      <c r="AK26"/>
      <c r="AO26" s="62">
        <f t="shared" si="13"/>
        <v>20</v>
      </c>
      <c r="AP26" s="30" t="str">
        <f t="shared" si="6"/>
        <v>10</v>
      </c>
      <c r="AQ26" s="62">
        <f t="shared" si="14"/>
        <v>20</v>
      </c>
      <c r="AR26" s="63">
        <v>2600600</v>
      </c>
      <c r="AS26" s="15">
        <f t="shared" si="15"/>
        <v>2600600</v>
      </c>
      <c r="AT26" s="62" t="str">
        <f t="shared" si="9"/>
        <v>3</v>
      </c>
      <c r="AW26" s="64" t="str">
        <f t="shared" si="10"/>
        <v>Y</v>
      </c>
      <c r="AX26" s="64" t="str">
        <f t="shared" ca="1" si="11"/>
        <v>202602</v>
      </c>
      <c r="AY26" s="15">
        <f t="shared" si="16"/>
        <v>2600600</v>
      </c>
    </row>
    <row r="27" spans="1:51" ht="16.5" x14ac:dyDescent="0.3">
      <c r="A27" s="32">
        <v>3</v>
      </c>
      <c r="B27" s="32" t="str">
        <f>'[1]근무일표(자동화)'!B30</f>
        <v>이재민</v>
      </c>
      <c r="C27" s="25" t="str">
        <f>_xlfn.IFNA(VLOOKUP(B27,[1]일용주민번호!A:B,2,0),"")</f>
        <v>0404243784016</v>
      </c>
      <c r="D27" s="32" t="str">
        <f t="shared" si="0"/>
        <v>100</v>
      </c>
      <c r="E27" s="25"/>
      <c r="F27" s="32" t="str">
        <f t="shared" si="1"/>
        <v>02</v>
      </c>
      <c r="G27" s="32" t="str">
        <f t="shared" si="2"/>
        <v>538</v>
      </c>
      <c r="H27" s="32" t="str">
        <f t="shared" si="3"/>
        <v>6933</v>
      </c>
      <c r="I27" s="32" t="str">
        <f t="shared" si="4"/>
        <v>615</v>
      </c>
      <c r="J27"/>
      <c r="K27">
        <v>1</v>
      </c>
      <c r="L27">
        <v>1</v>
      </c>
      <c r="M27"/>
      <c r="N27"/>
      <c r="O27">
        <v>1</v>
      </c>
      <c r="P27"/>
      <c r="Q27">
        <v>1</v>
      </c>
      <c r="R27"/>
      <c r="S27"/>
      <c r="T27">
        <v>1</v>
      </c>
      <c r="U27">
        <v>1</v>
      </c>
      <c r="V27"/>
      <c r="W27">
        <v>1</v>
      </c>
      <c r="X27">
        <v>1</v>
      </c>
      <c r="Y27"/>
      <c r="Z27"/>
      <c r="AA27">
        <v>1</v>
      </c>
      <c r="AB27">
        <v>1</v>
      </c>
      <c r="AC27"/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O27" s="62">
        <f t="shared" si="13"/>
        <v>18</v>
      </c>
      <c r="AP27" s="30" t="str">
        <f t="shared" si="6"/>
        <v>10</v>
      </c>
      <c r="AQ27" s="62">
        <f t="shared" si="14"/>
        <v>18</v>
      </c>
      <c r="AR27" s="63">
        <v>1830000</v>
      </c>
      <c r="AS27" s="15">
        <f t="shared" si="15"/>
        <v>1830000</v>
      </c>
      <c r="AT27" s="62" t="str">
        <f t="shared" si="9"/>
        <v>3</v>
      </c>
      <c r="AW27" s="64" t="str">
        <f t="shared" si="10"/>
        <v>Y</v>
      </c>
      <c r="AX27" s="64" t="str">
        <f t="shared" ca="1" si="11"/>
        <v>202602</v>
      </c>
      <c r="AY27" s="15">
        <f t="shared" si="16"/>
        <v>1830000</v>
      </c>
    </row>
    <row r="28" spans="1:51" ht="16.5" x14ac:dyDescent="0.3">
      <c r="A28" s="32">
        <v>3</v>
      </c>
      <c r="B28" s="32" t="str">
        <f>'[1]근무일표(자동화)'!B31</f>
        <v>김혜성</v>
      </c>
      <c r="C28" s="25" t="str">
        <f>_xlfn.IFNA(VLOOKUP(B28,[1]일용주민번호!A:B,2,0),"")</f>
        <v>7408292696311</v>
      </c>
      <c r="D28" s="32" t="str">
        <f t="shared" si="0"/>
        <v>100</v>
      </c>
      <c r="E28" s="25"/>
      <c r="F28" s="32" t="str">
        <f t="shared" si="1"/>
        <v>02</v>
      </c>
      <c r="G28" s="32" t="str">
        <f t="shared" si="2"/>
        <v>538</v>
      </c>
      <c r="H28" s="32" t="str">
        <f t="shared" si="3"/>
        <v>6933</v>
      </c>
      <c r="I28" s="32" t="str">
        <f t="shared" si="4"/>
        <v>615</v>
      </c>
      <c r="J28"/>
      <c r="K28"/>
      <c r="L28"/>
      <c r="M28"/>
      <c r="N28"/>
      <c r="O28"/>
      <c r="P28"/>
      <c r="Q28"/>
      <c r="R28"/>
      <c r="S28"/>
      <c r="T28"/>
      <c r="U28"/>
      <c r="V28"/>
      <c r="W28">
        <v>1</v>
      </c>
      <c r="X28">
        <v>1</v>
      </c>
      <c r="Y28"/>
      <c r="Z28"/>
      <c r="AA28">
        <v>1</v>
      </c>
      <c r="AB28">
        <v>1</v>
      </c>
      <c r="AC28"/>
      <c r="AD28"/>
      <c r="AE28"/>
      <c r="AF28"/>
      <c r="AG28"/>
      <c r="AH28"/>
      <c r="AI28"/>
      <c r="AJ28"/>
      <c r="AK28"/>
      <c r="AO28" s="62">
        <f t="shared" si="13"/>
        <v>4</v>
      </c>
      <c r="AP28" s="30" t="str">
        <f t="shared" si="6"/>
        <v>10</v>
      </c>
      <c r="AQ28" s="62">
        <f t="shared" si="14"/>
        <v>4</v>
      </c>
      <c r="AR28" s="63">
        <v>390200</v>
      </c>
      <c r="AS28" s="15">
        <f t="shared" si="15"/>
        <v>390200</v>
      </c>
      <c r="AT28" s="62" t="str">
        <f t="shared" si="9"/>
        <v>3</v>
      </c>
      <c r="AW28" s="64" t="str">
        <f t="shared" si="10"/>
        <v>Y</v>
      </c>
      <c r="AX28" s="64" t="str">
        <f t="shared" ca="1" si="11"/>
        <v>202602</v>
      </c>
      <c r="AY28" s="15">
        <f t="shared" si="16"/>
        <v>390200</v>
      </c>
    </row>
    <row r="29" spans="1:51" ht="16.5" x14ac:dyDescent="0.3">
      <c r="A29" s="32">
        <v>3</v>
      </c>
      <c r="B29" s="32" t="str">
        <f>'[1]근무일표(자동화)'!B32</f>
        <v>백한순</v>
      </c>
      <c r="C29" s="25" t="str">
        <f>_xlfn.IFNA(VLOOKUP(B29,[1]일용주민번호!A:B,2,0),"")</f>
        <v>0009274853322</v>
      </c>
      <c r="D29" s="32" t="str">
        <f t="shared" si="0"/>
        <v>100</v>
      </c>
      <c r="E29" s="25"/>
      <c r="F29" s="32" t="str">
        <f t="shared" si="1"/>
        <v>02</v>
      </c>
      <c r="G29" s="32" t="str">
        <f t="shared" si="2"/>
        <v>538</v>
      </c>
      <c r="H29" s="32" t="str">
        <f t="shared" si="3"/>
        <v>6933</v>
      </c>
      <c r="I29" s="32" t="str">
        <f t="shared" si="4"/>
        <v>615</v>
      </c>
      <c r="J29"/>
      <c r="K29"/>
      <c r="L29">
        <v>1</v>
      </c>
      <c r="M29">
        <v>1</v>
      </c>
      <c r="N29">
        <v>1</v>
      </c>
      <c r="O29"/>
      <c r="P29">
        <v>1</v>
      </c>
      <c r="Q29">
        <v>1</v>
      </c>
      <c r="R29">
        <v>1</v>
      </c>
      <c r="S29">
        <v>1</v>
      </c>
      <c r="T29"/>
      <c r="U29"/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/>
      <c r="AC29"/>
      <c r="AD29">
        <v>1</v>
      </c>
      <c r="AE29">
        <v>1</v>
      </c>
      <c r="AF29">
        <v>1</v>
      </c>
      <c r="AG29">
        <v>1</v>
      </c>
      <c r="AH29"/>
      <c r="AI29"/>
      <c r="AJ29">
        <v>1</v>
      </c>
      <c r="AK29">
        <v>1</v>
      </c>
      <c r="AO29" s="62">
        <f t="shared" si="13"/>
        <v>19</v>
      </c>
      <c r="AP29" s="30" t="str">
        <f t="shared" si="6"/>
        <v>10</v>
      </c>
      <c r="AQ29" s="62">
        <f t="shared" si="14"/>
        <v>19</v>
      </c>
      <c r="AR29" s="63">
        <v>3198070</v>
      </c>
      <c r="AS29" s="15">
        <f t="shared" si="15"/>
        <v>3198070</v>
      </c>
      <c r="AT29" s="62" t="str">
        <f t="shared" si="9"/>
        <v>3</v>
      </c>
      <c r="AW29" s="64" t="str">
        <f t="shared" si="10"/>
        <v>Y</v>
      </c>
      <c r="AX29" s="64" t="str">
        <f t="shared" ca="1" si="11"/>
        <v>202602</v>
      </c>
      <c r="AY29" s="15">
        <f t="shared" si="16"/>
        <v>3198070</v>
      </c>
    </row>
    <row r="30" spans="1:51" ht="16.5" x14ac:dyDescent="0.3">
      <c r="A30" s="32">
        <v>3</v>
      </c>
      <c r="B30" s="32" t="str">
        <f>'[1]근무일표(자동화)'!B33</f>
        <v>권귀현</v>
      </c>
      <c r="C30" s="25" t="str">
        <f>_xlfn.IFNA(VLOOKUP(B30,[1]일용주민번호!A:B,2,0),"")</f>
        <v>0704234902310</v>
      </c>
      <c r="D30" s="32" t="str">
        <f t="shared" si="0"/>
        <v>100</v>
      </c>
      <c r="E30" s="25"/>
      <c r="F30" s="32" t="str">
        <f t="shared" si="1"/>
        <v>02</v>
      </c>
      <c r="G30" s="32" t="str">
        <f t="shared" si="2"/>
        <v>538</v>
      </c>
      <c r="H30" s="32" t="str">
        <f t="shared" si="3"/>
        <v>6933</v>
      </c>
      <c r="I30" s="32" t="str">
        <f t="shared" si="4"/>
        <v>615</v>
      </c>
      <c r="J30"/>
      <c r="K30"/>
      <c r="L30">
        <v>1</v>
      </c>
      <c r="M30"/>
      <c r="N30">
        <v>1</v>
      </c>
      <c r="O30"/>
      <c r="P30"/>
      <c r="Q30"/>
      <c r="R30"/>
      <c r="S30"/>
      <c r="T30">
        <v>1</v>
      </c>
      <c r="U30">
        <v>1</v>
      </c>
      <c r="V30"/>
      <c r="W30"/>
      <c r="X30">
        <v>1</v>
      </c>
      <c r="Y30">
        <v>1</v>
      </c>
      <c r="Z30">
        <v>1</v>
      </c>
      <c r="AA30"/>
      <c r="AB30"/>
      <c r="AC30"/>
      <c r="AD30"/>
      <c r="AE30"/>
      <c r="AF30"/>
      <c r="AG30"/>
      <c r="AH30"/>
      <c r="AI30"/>
      <c r="AJ30"/>
      <c r="AK30"/>
      <c r="AO30" s="62">
        <f t="shared" si="13"/>
        <v>7</v>
      </c>
      <c r="AP30" s="30" t="str">
        <f t="shared" si="6"/>
        <v>10</v>
      </c>
      <c r="AQ30" s="62">
        <f t="shared" si="14"/>
        <v>7</v>
      </c>
      <c r="AR30" s="63">
        <v>913220</v>
      </c>
      <c r="AS30" s="15">
        <f t="shared" si="15"/>
        <v>913220</v>
      </c>
      <c r="AT30" s="62" t="str">
        <f t="shared" si="9"/>
        <v>3</v>
      </c>
      <c r="AW30" s="64" t="str">
        <f t="shared" si="10"/>
        <v>Y</v>
      </c>
      <c r="AX30" s="64" t="str">
        <f t="shared" ca="1" si="11"/>
        <v>202602</v>
      </c>
      <c r="AY30" s="15">
        <f t="shared" si="16"/>
        <v>913220</v>
      </c>
    </row>
    <row r="31" spans="1:51" ht="16.5" x14ac:dyDescent="0.3">
      <c r="A31" s="32">
        <v>3</v>
      </c>
      <c r="B31" s="32" t="str">
        <f>'[1]근무일표(자동화)'!B34</f>
        <v>조보람</v>
      </c>
      <c r="C31" s="25" t="str">
        <f>_xlfn.IFNA(VLOOKUP(B31,[1]일용주민번호!A:B,2,0),"")</f>
        <v>9503152200612</v>
      </c>
      <c r="D31" s="32" t="str">
        <f t="shared" si="0"/>
        <v>100</v>
      </c>
      <c r="E31" s="25"/>
      <c r="F31" s="32" t="str">
        <f t="shared" si="1"/>
        <v>02</v>
      </c>
      <c r="G31" s="32" t="str">
        <f t="shared" si="2"/>
        <v>538</v>
      </c>
      <c r="H31" s="32" t="str">
        <f t="shared" si="3"/>
        <v>6933</v>
      </c>
      <c r="I31" s="32" t="str">
        <f t="shared" si="4"/>
        <v>615</v>
      </c>
      <c r="J31"/>
      <c r="K31">
        <v>1</v>
      </c>
      <c r="L31">
        <v>1</v>
      </c>
      <c r="M31">
        <v>1</v>
      </c>
      <c r="N31">
        <v>1</v>
      </c>
      <c r="O31">
        <v>1</v>
      </c>
      <c r="P31"/>
      <c r="Q31"/>
      <c r="R31">
        <v>1</v>
      </c>
      <c r="S31">
        <v>1</v>
      </c>
      <c r="T31">
        <v>1</v>
      </c>
      <c r="U31">
        <v>1</v>
      </c>
      <c r="V31"/>
      <c r="W31"/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/>
      <c r="AE31"/>
      <c r="AF31">
        <v>1</v>
      </c>
      <c r="AG31">
        <v>1</v>
      </c>
      <c r="AH31">
        <v>1</v>
      </c>
      <c r="AI31">
        <v>1</v>
      </c>
      <c r="AJ31">
        <v>1</v>
      </c>
      <c r="AK31"/>
      <c r="AO31" s="62">
        <f t="shared" si="13"/>
        <v>20</v>
      </c>
      <c r="AP31" s="30" t="str">
        <f t="shared" si="6"/>
        <v>10</v>
      </c>
      <c r="AQ31" s="62">
        <f t="shared" si="14"/>
        <v>20</v>
      </c>
      <c r="AR31" s="63">
        <v>3328100</v>
      </c>
      <c r="AS31" s="15">
        <f t="shared" si="15"/>
        <v>3328100</v>
      </c>
      <c r="AT31" s="62" t="str">
        <f t="shared" si="9"/>
        <v>3</v>
      </c>
      <c r="AW31" s="64" t="str">
        <f t="shared" si="10"/>
        <v>Y</v>
      </c>
      <c r="AX31" s="64" t="str">
        <f t="shared" ca="1" si="11"/>
        <v>202602</v>
      </c>
      <c r="AY31" s="15">
        <f t="shared" si="16"/>
        <v>3328100</v>
      </c>
    </row>
    <row r="32" spans="1:51" ht="16.5" x14ac:dyDescent="0.3">
      <c r="A32" s="32">
        <v>3</v>
      </c>
      <c r="B32" s="32" t="str">
        <f>'[1]근무일표(자동화)'!B35</f>
        <v>최경희</v>
      </c>
      <c r="C32" s="25" t="str">
        <f>_xlfn.IFNA(VLOOKUP(B32,[1]일용주민번호!A:B,2,0),"")</f>
        <v>6809212820417</v>
      </c>
      <c r="D32" s="32" t="str">
        <f t="shared" si="0"/>
        <v>100</v>
      </c>
      <c r="E32" s="25"/>
      <c r="F32" s="32" t="str">
        <f t="shared" si="1"/>
        <v>02</v>
      </c>
      <c r="G32" s="32" t="str">
        <f t="shared" si="2"/>
        <v>538</v>
      </c>
      <c r="H32" s="32" t="str">
        <f t="shared" si="3"/>
        <v>6933</v>
      </c>
      <c r="I32" s="32" t="str">
        <f t="shared" si="4"/>
        <v>615</v>
      </c>
      <c r="J32"/>
      <c r="K32"/>
      <c r="L32"/>
      <c r="M32"/>
      <c r="N32"/>
      <c r="O32"/>
      <c r="P32"/>
      <c r="Q32"/>
      <c r="R32"/>
      <c r="S32"/>
      <c r="T32"/>
      <c r="U32"/>
      <c r="V32"/>
      <c r="W32">
        <v>1</v>
      </c>
      <c r="X32">
        <v>1</v>
      </c>
      <c r="Y32">
        <v>1</v>
      </c>
      <c r="Z32">
        <v>1</v>
      </c>
      <c r="AA32"/>
      <c r="AB32"/>
      <c r="AC32"/>
      <c r="AD32"/>
      <c r="AE32"/>
      <c r="AF32"/>
      <c r="AG32"/>
      <c r="AH32"/>
      <c r="AI32"/>
      <c r="AJ32"/>
      <c r="AK32"/>
      <c r="AO32" s="62">
        <f t="shared" si="13"/>
        <v>4</v>
      </c>
      <c r="AP32" s="30" t="str">
        <f t="shared" si="6"/>
        <v>10</v>
      </c>
      <c r="AQ32" s="62">
        <f t="shared" si="14"/>
        <v>4</v>
      </c>
      <c r="AR32" s="63">
        <v>440000</v>
      </c>
      <c r="AS32" s="15">
        <f t="shared" si="15"/>
        <v>440000</v>
      </c>
      <c r="AT32" s="62" t="str">
        <f t="shared" si="9"/>
        <v>3</v>
      </c>
      <c r="AW32" s="64" t="str">
        <f t="shared" si="10"/>
        <v>Y</v>
      </c>
      <c r="AX32" s="64" t="str">
        <f t="shared" ca="1" si="11"/>
        <v>202602</v>
      </c>
      <c r="AY32" s="15">
        <f t="shared" si="16"/>
        <v>440000</v>
      </c>
    </row>
    <row r="33" spans="1:51" ht="16.5" x14ac:dyDescent="0.3">
      <c r="A33" s="32">
        <v>3</v>
      </c>
      <c r="B33" s="32" t="str">
        <f>'[1]근무일표(자동화)'!B36</f>
        <v>정세영</v>
      </c>
      <c r="C33" s="25" t="str">
        <f>_xlfn.IFNA(VLOOKUP(B33,[1]일용주민번호!A:B,2,0),"")</f>
        <v>8702261910214</v>
      </c>
      <c r="D33" s="32" t="str">
        <f t="shared" si="0"/>
        <v>100</v>
      </c>
      <c r="E33" s="25"/>
      <c r="F33" s="32" t="str">
        <f t="shared" si="1"/>
        <v>02</v>
      </c>
      <c r="G33" s="32" t="str">
        <f t="shared" si="2"/>
        <v>538</v>
      </c>
      <c r="H33" s="32" t="str">
        <f t="shared" si="3"/>
        <v>6933</v>
      </c>
      <c r="I33" s="32" t="str">
        <f t="shared" si="4"/>
        <v>615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>
        <v>1</v>
      </c>
      <c r="Y33">
        <v>1</v>
      </c>
      <c r="Z33">
        <v>1</v>
      </c>
      <c r="AA33">
        <v>1</v>
      </c>
      <c r="AB33"/>
      <c r="AC33"/>
      <c r="AD33"/>
      <c r="AE33"/>
      <c r="AF33"/>
      <c r="AG33"/>
      <c r="AH33"/>
      <c r="AI33"/>
      <c r="AJ33"/>
      <c r="AK33"/>
      <c r="AO33" s="62">
        <f t="shared" si="13"/>
        <v>4</v>
      </c>
      <c r="AP33" s="30" t="str">
        <f t="shared" si="6"/>
        <v>10</v>
      </c>
      <c r="AQ33" s="62">
        <f t="shared" si="14"/>
        <v>4</v>
      </c>
      <c r="AR33" s="63">
        <v>400000</v>
      </c>
      <c r="AS33" s="15">
        <f t="shared" si="15"/>
        <v>400000</v>
      </c>
      <c r="AT33" s="62" t="str">
        <f t="shared" si="9"/>
        <v>3</v>
      </c>
      <c r="AW33" s="64" t="str">
        <f t="shared" si="10"/>
        <v>Y</v>
      </c>
      <c r="AX33" s="64" t="str">
        <f t="shared" ca="1" si="11"/>
        <v>202602</v>
      </c>
      <c r="AY33" s="15">
        <f t="shared" si="16"/>
        <v>400000</v>
      </c>
    </row>
    <row r="34" spans="1:51" ht="16.5" x14ac:dyDescent="0.3">
      <c r="A34" s="32">
        <v>3</v>
      </c>
      <c r="B34" s="32" t="str">
        <f>'[1]근무일표(자동화)'!B37</f>
        <v>구한길</v>
      </c>
      <c r="C34" s="25" t="str">
        <f>_xlfn.IFNA(VLOOKUP(B34,[1]일용주민번호!A:B,2,0),"")</f>
        <v>8509211891915</v>
      </c>
      <c r="D34" s="32" t="str">
        <f t="shared" si="0"/>
        <v>100</v>
      </c>
      <c r="E34" s="25"/>
      <c r="F34" s="32" t="str">
        <f t="shared" si="1"/>
        <v>02</v>
      </c>
      <c r="G34" s="32" t="str">
        <f t="shared" si="2"/>
        <v>538</v>
      </c>
      <c r="H34" s="32" t="str">
        <f t="shared" si="3"/>
        <v>6933</v>
      </c>
      <c r="I34" s="32" t="str">
        <f t="shared" si="4"/>
        <v>615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>
        <v>1</v>
      </c>
      <c r="Y34">
        <v>1</v>
      </c>
      <c r="Z34">
        <v>1</v>
      </c>
      <c r="AA34">
        <v>1</v>
      </c>
      <c r="AB34"/>
      <c r="AC34"/>
      <c r="AD34"/>
      <c r="AE34"/>
      <c r="AF34"/>
      <c r="AG34"/>
      <c r="AH34"/>
      <c r="AI34"/>
      <c r="AJ34"/>
      <c r="AK34"/>
      <c r="AO34" s="62">
        <f t="shared" si="13"/>
        <v>4</v>
      </c>
      <c r="AP34" s="30" t="str">
        <f t="shared" si="6"/>
        <v>10</v>
      </c>
      <c r="AQ34" s="62">
        <f t="shared" si="14"/>
        <v>4</v>
      </c>
      <c r="AR34" s="63">
        <v>400000</v>
      </c>
      <c r="AS34" s="15">
        <f t="shared" si="15"/>
        <v>400000</v>
      </c>
      <c r="AT34" s="62" t="str">
        <f t="shared" si="9"/>
        <v>3</v>
      </c>
      <c r="AW34" s="64" t="str">
        <f t="shared" si="10"/>
        <v>Y</v>
      </c>
      <c r="AX34" s="64" t="str">
        <f t="shared" ca="1" si="11"/>
        <v>202602</v>
      </c>
      <c r="AY34" s="15">
        <f t="shared" si="16"/>
        <v>400000</v>
      </c>
    </row>
    <row r="35" spans="1:51" ht="16.5" x14ac:dyDescent="0.3">
      <c r="A35" s="32">
        <v>3</v>
      </c>
      <c r="B35" s="32" t="str">
        <f>'[1]근무일표(자동화)'!B38</f>
        <v>오대현</v>
      </c>
      <c r="C35" s="25" t="str">
        <f>_xlfn.IFNA(VLOOKUP(B35,[1]일용주민번호!A:B,2,0),"")</f>
        <v>0404123109020</v>
      </c>
      <c r="D35" s="32" t="str">
        <f t="shared" si="0"/>
        <v>100</v>
      </c>
      <c r="E35" s="25"/>
      <c r="F35" s="32" t="str">
        <f t="shared" si="1"/>
        <v>02</v>
      </c>
      <c r="G35" s="32" t="str">
        <f t="shared" si="2"/>
        <v>538</v>
      </c>
      <c r="H35" s="32" t="str">
        <f t="shared" si="3"/>
        <v>6933</v>
      </c>
      <c r="I35" s="32" t="str">
        <f t="shared" si="4"/>
        <v>615</v>
      </c>
      <c r="J35"/>
      <c r="K35"/>
      <c r="L35"/>
      <c r="M35"/>
      <c r="N35"/>
      <c r="O35"/>
      <c r="P35"/>
      <c r="Q35"/>
      <c r="R35"/>
      <c r="S35"/>
      <c r="T35"/>
      <c r="U35"/>
      <c r="V35"/>
      <c r="W35">
        <v>1</v>
      </c>
      <c r="X35">
        <v>1</v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O35" s="62">
        <f t="shared" si="13"/>
        <v>2</v>
      </c>
      <c r="AP35" s="30" t="str">
        <f t="shared" si="6"/>
        <v>10</v>
      </c>
      <c r="AQ35" s="62">
        <f t="shared" si="14"/>
        <v>2</v>
      </c>
      <c r="AR35" s="63">
        <v>262000</v>
      </c>
      <c r="AS35" s="15">
        <f t="shared" si="15"/>
        <v>262000</v>
      </c>
      <c r="AT35" s="62" t="str">
        <f t="shared" si="9"/>
        <v>3</v>
      </c>
      <c r="AW35" s="64" t="str">
        <f t="shared" si="10"/>
        <v>Y</v>
      </c>
      <c r="AX35" s="64" t="str">
        <f t="shared" ca="1" si="11"/>
        <v>202602</v>
      </c>
      <c r="AY35" s="15">
        <f t="shared" si="16"/>
        <v>262000</v>
      </c>
    </row>
    <row r="36" spans="1:51" ht="16.5" x14ac:dyDescent="0.3">
      <c r="A36" s="32">
        <v>3</v>
      </c>
      <c r="B36" s="32" t="str">
        <f>'[1]근무일표(자동화)'!B39</f>
        <v>최연재</v>
      </c>
      <c r="C36" s="25" t="str">
        <f>_xlfn.IFNA(VLOOKUP(B36,[1]일용주민번호!A:B,2,0),"")</f>
        <v>9301132690910</v>
      </c>
      <c r="D36" s="32" t="str">
        <f t="shared" si="0"/>
        <v>100</v>
      </c>
      <c r="E36" s="25"/>
      <c r="F36" s="32" t="str">
        <f t="shared" si="1"/>
        <v>02</v>
      </c>
      <c r="G36" s="32" t="str">
        <f t="shared" si="2"/>
        <v>538</v>
      </c>
      <c r="H36" s="32" t="str">
        <f t="shared" si="3"/>
        <v>6933</v>
      </c>
      <c r="I36" s="32" t="str">
        <f t="shared" si="4"/>
        <v>615</v>
      </c>
      <c r="J36"/>
      <c r="K36"/>
      <c r="L36"/>
      <c r="M36"/>
      <c r="N36"/>
      <c r="O36"/>
      <c r="P36"/>
      <c r="Q36"/>
      <c r="R36"/>
      <c r="S36"/>
      <c r="T36"/>
      <c r="U36"/>
      <c r="V36"/>
      <c r="W36">
        <v>1</v>
      </c>
      <c r="X36">
        <v>1</v>
      </c>
      <c r="Y36">
        <v>1</v>
      </c>
      <c r="Z36">
        <v>1</v>
      </c>
      <c r="AA36"/>
      <c r="AB36"/>
      <c r="AC36"/>
      <c r="AD36"/>
      <c r="AE36"/>
      <c r="AF36"/>
      <c r="AG36"/>
      <c r="AH36"/>
      <c r="AI36"/>
      <c r="AJ36"/>
      <c r="AK36"/>
      <c r="AO36" s="62">
        <f t="shared" si="13"/>
        <v>4</v>
      </c>
      <c r="AP36" s="30" t="str">
        <f t="shared" si="6"/>
        <v>10</v>
      </c>
      <c r="AQ36" s="62">
        <f t="shared" si="14"/>
        <v>4</v>
      </c>
      <c r="AR36" s="63">
        <v>524000</v>
      </c>
      <c r="AS36" s="15">
        <f t="shared" si="15"/>
        <v>524000</v>
      </c>
      <c r="AT36" s="62" t="str">
        <f t="shared" si="9"/>
        <v>3</v>
      </c>
      <c r="AW36" s="64" t="str">
        <f t="shared" si="10"/>
        <v>Y</v>
      </c>
      <c r="AX36" s="64" t="str">
        <f t="shared" ca="1" si="11"/>
        <v>202602</v>
      </c>
      <c r="AY36" s="15">
        <f t="shared" si="16"/>
        <v>524000</v>
      </c>
    </row>
    <row r="37" spans="1:51" ht="16.5" x14ac:dyDescent="0.3">
      <c r="A37" s="32">
        <v>3</v>
      </c>
      <c r="B37" s="32" t="str">
        <f>'[1]근무일표(자동화)'!B40</f>
        <v>정나경</v>
      </c>
      <c r="C37" s="25" t="str">
        <f>_xlfn.IFNA(VLOOKUP(B37,[1]일용주민번호!A:B,2,0),"")</f>
        <v>0402264823715</v>
      </c>
      <c r="D37" s="32" t="str">
        <f t="shared" si="0"/>
        <v>100</v>
      </c>
      <c r="E37" s="25"/>
      <c r="F37" s="32" t="str">
        <f t="shared" si="1"/>
        <v>02</v>
      </c>
      <c r="G37" s="32" t="str">
        <f t="shared" si="2"/>
        <v>538</v>
      </c>
      <c r="H37" s="32" t="str">
        <f t="shared" si="3"/>
        <v>6933</v>
      </c>
      <c r="I37" s="32" t="str">
        <f t="shared" si="4"/>
        <v>615</v>
      </c>
      <c r="J37">
        <v>1</v>
      </c>
      <c r="K37"/>
      <c r="L37"/>
      <c r="M37"/>
      <c r="N37"/>
      <c r="O37"/>
      <c r="P37">
        <v>1</v>
      </c>
      <c r="Q37">
        <v>1</v>
      </c>
      <c r="R37"/>
      <c r="S37"/>
      <c r="T37"/>
      <c r="U37"/>
      <c r="V37"/>
      <c r="W37">
        <v>1</v>
      </c>
      <c r="X37">
        <v>1</v>
      </c>
      <c r="Y37">
        <v>1</v>
      </c>
      <c r="Z37">
        <v>1</v>
      </c>
      <c r="AA37">
        <v>1</v>
      </c>
      <c r="AB37"/>
      <c r="AC37"/>
      <c r="AD37">
        <v>1</v>
      </c>
      <c r="AE37">
        <v>1</v>
      </c>
      <c r="AF37"/>
      <c r="AG37"/>
      <c r="AH37"/>
      <c r="AI37"/>
      <c r="AJ37"/>
      <c r="AK37">
        <v>1</v>
      </c>
      <c r="AO37" s="62">
        <f t="shared" si="13"/>
        <v>11</v>
      </c>
      <c r="AP37" s="30" t="str">
        <f t="shared" si="6"/>
        <v>10</v>
      </c>
      <c r="AQ37" s="62">
        <f t="shared" si="14"/>
        <v>11</v>
      </c>
      <c r="AR37" s="63">
        <v>1210000</v>
      </c>
      <c r="AS37" s="15">
        <f t="shared" si="15"/>
        <v>1210000</v>
      </c>
      <c r="AT37" s="62" t="str">
        <f t="shared" si="9"/>
        <v>3</v>
      </c>
      <c r="AW37" s="64" t="str">
        <f t="shared" si="10"/>
        <v>Y</v>
      </c>
      <c r="AX37" s="64" t="str">
        <f t="shared" ca="1" si="11"/>
        <v>202602</v>
      </c>
      <c r="AY37" s="15">
        <f t="shared" si="16"/>
        <v>1210000</v>
      </c>
    </row>
    <row r="38" spans="1:51" ht="16.5" x14ac:dyDescent="0.3">
      <c r="A38" s="32">
        <v>3</v>
      </c>
      <c r="B38" s="32" t="str">
        <f>'[1]근무일표(자동화)'!B41</f>
        <v>김강민</v>
      </c>
      <c r="C38" s="25" t="str">
        <f>_xlfn.IFNA(VLOOKUP(B38,[1]일용주민번호!A:B,2,0),"")</f>
        <v>0204033854133</v>
      </c>
      <c r="D38" s="32" t="str">
        <f t="shared" si="0"/>
        <v>100</v>
      </c>
      <c r="E38" s="25"/>
      <c r="F38" s="32" t="str">
        <f t="shared" si="1"/>
        <v>02</v>
      </c>
      <c r="G38" s="32" t="str">
        <f t="shared" si="2"/>
        <v>538</v>
      </c>
      <c r="H38" s="32" t="str">
        <f t="shared" si="3"/>
        <v>6933</v>
      </c>
      <c r="I38" s="32" t="str">
        <f t="shared" si="4"/>
        <v>615</v>
      </c>
      <c r="J38"/>
      <c r="K38">
        <v>1</v>
      </c>
      <c r="L38">
        <v>1</v>
      </c>
      <c r="M38"/>
      <c r="N38"/>
      <c r="O38"/>
      <c r="P38"/>
      <c r="Q38"/>
      <c r="R38"/>
      <c r="S38"/>
      <c r="T38"/>
      <c r="U38"/>
      <c r="V38">
        <v>1</v>
      </c>
      <c r="W38"/>
      <c r="X38"/>
      <c r="Y38">
        <v>1</v>
      </c>
      <c r="Z38">
        <v>1</v>
      </c>
      <c r="AA38">
        <v>1</v>
      </c>
      <c r="AB38"/>
      <c r="AC38"/>
      <c r="AD38"/>
      <c r="AE38"/>
      <c r="AF38">
        <v>1</v>
      </c>
      <c r="AG38">
        <v>1</v>
      </c>
      <c r="AH38"/>
      <c r="AI38"/>
      <c r="AJ38"/>
      <c r="AK38"/>
      <c r="AO38" s="62">
        <f t="shared" si="13"/>
        <v>8</v>
      </c>
      <c r="AP38" s="30" t="str">
        <f t="shared" si="6"/>
        <v>10</v>
      </c>
      <c r="AQ38" s="62">
        <f t="shared" si="14"/>
        <v>8</v>
      </c>
      <c r="AR38" s="63">
        <v>830000</v>
      </c>
      <c r="AS38" s="15">
        <f t="shared" si="15"/>
        <v>830000</v>
      </c>
      <c r="AT38" s="62" t="str">
        <f t="shared" si="9"/>
        <v>3</v>
      </c>
      <c r="AW38" s="64" t="str">
        <f t="shared" si="10"/>
        <v>Y</v>
      </c>
      <c r="AX38" s="64" t="str">
        <f t="shared" ca="1" si="11"/>
        <v>202602</v>
      </c>
      <c r="AY38" s="15">
        <f t="shared" si="16"/>
        <v>830000</v>
      </c>
    </row>
    <row r="39" spans="1:51" ht="16.5" x14ac:dyDescent="0.3">
      <c r="A39" s="32">
        <v>3</v>
      </c>
      <c r="B39" s="32" t="str">
        <f>'[1]근무일표(자동화)'!B42</f>
        <v>박지언</v>
      </c>
      <c r="C39" s="25" t="str">
        <f>_xlfn.IFNA(VLOOKUP(B39,[1]일용주민번호!A:B,2,0),"")</f>
        <v>1009203902214</v>
      </c>
      <c r="D39" s="32" t="str">
        <f t="shared" si="0"/>
        <v>100</v>
      </c>
      <c r="E39" s="25"/>
      <c r="F39" s="32" t="str">
        <f t="shared" si="1"/>
        <v>02</v>
      </c>
      <c r="G39" s="32" t="str">
        <f t="shared" si="2"/>
        <v>538</v>
      </c>
      <c r="H39" s="32" t="str">
        <f t="shared" si="3"/>
        <v>6933</v>
      </c>
      <c r="I39" s="32" t="str">
        <f t="shared" si="4"/>
        <v>615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>
        <v>1</v>
      </c>
      <c r="Y39">
        <v>1</v>
      </c>
      <c r="Z39">
        <v>1</v>
      </c>
      <c r="AA39"/>
      <c r="AB39"/>
      <c r="AC39"/>
      <c r="AD39"/>
      <c r="AE39"/>
      <c r="AF39"/>
      <c r="AG39"/>
      <c r="AH39"/>
      <c r="AI39"/>
      <c r="AJ39"/>
      <c r="AK39"/>
      <c r="AO39" s="62">
        <f t="shared" si="13"/>
        <v>3</v>
      </c>
      <c r="AP39" s="30" t="str">
        <f t="shared" si="6"/>
        <v>10</v>
      </c>
      <c r="AQ39" s="62">
        <f t="shared" si="14"/>
        <v>3</v>
      </c>
      <c r="AR39" s="63">
        <v>262440</v>
      </c>
      <c r="AS39" s="15">
        <f t="shared" si="15"/>
        <v>262440</v>
      </c>
      <c r="AT39" s="62" t="str">
        <f t="shared" si="9"/>
        <v>3</v>
      </c>
      <c r="AW39" s="64" t="str">
        <f t="shared" si="10"/>
        <v>Y</v>
      </c>
      <c r="AX39" s="64" t="str">
        <f t="shared" ca="1" si="11"/>
        <v>202602</v>
      </c>
      <c r="AY39" s="15">
        <f t="shared" si="16"/>
        <v>262440</v>
      </c>
    </row>
    <row r="40" spans="1:51" ht="16.5" x14ac:dyDescent="0.3">
      <c r="A40" s="32">
        <v>3</v>
      </c>
      <c r="B40" s="32" t="str">
        <f>'[1]근무일표(자동화)'!B43</f>
        <v>최영석</v>
      </c>
      <c r="C40" s="25" t="str">
        <f>_xlfn.IFNA(VLOOKUP(B40,[1]일용주민번호!A:B,2,0),"")</f>
        <v>9602231096425</v>
      </c>
      <c r="D40" s="32" t="str">
        <f t="shared" si="0"/>
        <v>100</v>
      </c>
      <c r="E40" s="25"/>
      <c r="F40" s="32" t="str">
        <f t="shared" si="1"/>
        <v>02</v>
      </c>
      <c r="G40" s="32" t="str">
        <f t="shared" si="2"/>
        <v>538</v>
      </c>
      <c r="H40" s="32" t="str">
        <f t="shared" si="3"/>
        <v>6933</v>
      </c>
      <c r="I40" s="32" t="str">
        <f t="shared" si="4"/>
        <v>615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>
        <v>1</v>
      </c>
      <c r="Y40">
        <v>1</v>
      </c>
      <c r="Z40">
        <v>1</v>
      </c>
      <c r="AA40"/>
      <c r="AB40"/>
      <c r="AC40"/>
      <c r="AD40"/>
      <c r="AE40"/>
      <c r="AF40"/>
      <c r="AG40"/>
      <c r="AH40"/>
      <c r="AI40"/>
      <c r="AJ40"/>
      <c r="AK40"/>
      <c r="AO40" s="62">
        <f t="shared" si="13"/>
        <v>3</v>
      </c>
      <c r="AP40" s="30" t="str">
        <f t="shared" si="6"/>
        <v>10</v>
      </c>
      <c r="AQ40" s="62">
        <f t="shared" si="14"/>
        <v>3</v>
      </c>
      <c r="AR40" s="63">
        <v>393000</v>
      </c>
      <c r="AS40" s="15">
        <f t="shared" si="15"/>
        <v>393000</v>
      </c>
      <c r="AT40" s="62" t="str">
        <f t="shared" si="9"/>
        <v>3</v>
      </c>
      <c r="AW40" s="64" t="str">
        <f t="shared" si="10"/>
        <v>Y</v>
      </c>
      <c r="AX40" s="64" t="str">
        <f t="shared" ca="1" si="11"/>
        <v>202602</v>
      </c>
      <c r="AY40" s="15">
        <f t="shared" si="16"/>
        <v>393000</v>
      </c>
    </row>
    <row r="41" spans="1:51" ht="16.5" x14ac:dyDescent="0.3">
      <c r="A41" s="32">
        <v>3</v>
      </c>
      <c r="B41" s="32" t="str">
        <f>'[1]근무일표(자동화)'!B44</f>
        <v>배영희</v>
      </c>
      <c r="C41" s="25" t="str">
        <f>_xlfn.IFNA(VLOOKUP(B41,[1]일용주민번호!A:B,2,0),"")</f>
        <v>5910202122913</v>
      </c>
      <c r="D41" s="32" t="str">
        <f t="shared" si="0"/>
        <v>100</v>
      </c>
      <c r="E41" s="25"/>
      <c r="F41" s="32" t="str">
        <f t="shared" si="1"/>
        <v>02</v>
      </c>
      <c r="G41" s="32" t="str">
        <f t="shared" si="2"/>
        <v>538</v>
      </c>
      <c r="H41" s="32" t="str">
        <f t="shared" si="3"/>
        <v>6933</v>
      </c>
      <c r="I41" s="32" t="str">
        <f t="shared" si="4"/>
        <v>615</v>
      </c>
      <c r="J41"/>
      <c r="K41"/>
      <c r="L41"/>
      <c r="M41"/>
      <c r="N41"/>
      <c r="O41"/>
      <c r="P41"/>
      <c r="Q41"/>
      <c r="R41"/>
      <c r="S41"/>
      <c r="T41">
        <v>1</v>
      </c>
      <c r="U41">
        <v>1</v>
      </c>
      <c r="V41">
        <v>1</v>
      </c>
      <c r="W41"/>
      <c r="X41"/>
      <c r="Y41"/>
      <c r="Z41"/>
      <c r="AA41"/>
      <c r="AB41">
        <v>1</v>
      </c>
      <c r="AC41">
        <v>1</v>
      </c>
      <c r="AD41">
        <v>1</v>
      </c>
      <c r="AE41"/>
      <c r="AF41">
        <v>1</v>
      </c>
      <c r="AG41">
        <v>1</v>
      </c>
      <c r="AH41"/>
      <c r="AI41"/>
      <c r="AJ41"/>
      <c r="AK41">
        <v>1</v>
      </c>
      <c r="AO41" s="62">
        <f t="shared" si="13"/>
        <v>9</v>
      </c>
      <c r="AP41" s="30" t="str">
        <f t="shared" si="6"/>
        <v>10</v>
      </c>
      <c r="AQ41" s="62">
        <f t="shared" si="14"/>
        <v>9</v>
      </c>
      <c r="AR41" s="63">
        <v>1179000</v>
      </c>
      <c r="AS41" s="15">
        <f t="shared" si="15"/>
        <v>1179000</v>
      </c>
      <c r="AT41" s="62" t="str">
        <f t="shared" si="9"/>
        <v>3</v>
      </c>
      <c r="AW41" s="64" t="str">
        <f t="shared" si="10"/>
        <v>Y</v>
      </c>
      <c r="AX41" s="64" t="str">
        <f t="shared" ca="1" si="11"/>
        <v>202602</v>
      </c>
      <c r="AY41" s="15">
        <f t="shared" si="16"/>
        <v>1179000</v>
      </c>
    </row>
    <row r="42" spans="1:51" ht="16.5" x14ac:dyDescent="0.3">
      <c r="A42" s="32">
        <v>3</v>
      </c>
      <c r="B42" s="32" t="str">
        <f>'[1]근무일표(자동화)'!B45</f>
        <v>김훈종</v>
      </c>
      <c r="C42" s="25" t="str">
        <f>_xlfn.IFNA(VLOOKUP(B42,[1]일용주민번호!A:B,2,0),"")</f>
        <v>0211253853223</v>
      </c>
      <c r="D42" s="32" t="str">
        <f t="shared" si="0"/>
        <v>100</v>
      </c>
      <c r="E42" s="25"/>
      <c r="F42" s="32" t="str">
        <f t="shared" si="1"/>
        <v>02</v>
      </c>
      <c r="G42" s="32" t="str">
        <f t="shared" si="2"/>
        <v>538</v>
      </c>
      <c r="H42" s="32" t="str">
        <f t="shared" si="3"/>
        <v>6933</v>
      </c>
      <c r="I42" s="32" t="str">
        <f t="shared" si="4"/>
        <v>615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>
        <v>1</v>
      </c>
      <c r="Y42">
        <v>1</v>
      </c>
      <c r="Z42">
        <v>1</v>
      </c>
      <c r="AA42">
        <v>1</v>
      </c>
      <c r="AB42"/>
      <c r="AC42"/>
      <c r="AD42"/>
      <c r="AE42"/>
      <c r="AF42"/>
      <c r="AG42"/>
      <c r="AH42"/>
      <c r="AI42"/>
      <c r="AJ42"/>
      <c r="AK42"/>
      <c r="AO42" s="62">
        <f t="shared" si="13"/>
        <v>4</v>
      </c>
      <c r="AP42" s="30" t="str">
        <f t="shared" si="6"/>
        <v>10</v>
      </c>
      <c r="AQ42" s="62">
        <f t="shared" si="14"/>
        <v>4</v>
      </c>
      <c r="AR42" s="63">
        <v>524000</v>
      </c>
      <c r="AS42" s="15">
        <f t="shared" si="15"/>
        <v>524000</v>
      </c>
      <c r="AT42" s="62" t="str">
        <f t="shared" si="9"/>
        <v>3</v>
      </c>
      <c r="AW42" s="64" t="str">
        <f t="shared" si="10"/>
        <v>Y</v>
      </c>
      <c r="AX42" s="64" t="str">
        <f t="shared" ca="1" si="11"/>
        <v>202602</v>
      </c>
      <c r="AY42" s="15">
        <f t="shared" si="16"/>
        <v>524000</v>
      </c>
    </row>
    <row r="43" spans="1:51" ht="16.5" x14ac:dyDescent="0.3">
      <c r="A43" s="32">
        <v>3</v>
      </c>
      <c r="B43" s="32" t="str">
        <f>'[1]근무일표(자동화)'!B46</f>
        <v>주성민</v>
      </c>
      <c r="C43" s="25" t="str">
        <f>_xlfn.IFNA(VLOOKUP(B43,[1]일용주민번호!A:B,2,0),"")</f>
        <v>0204253246921</v>
      </c>
      <c r="D43" s="32" t="str">
        <f t="shared" si="0"/>
        <v>100</v>
      </c>
      <c r="E43" s="25"/>
      <c r="F43" s="32" t="str">
        <f t="shared" si="1"/>
        <v>02</v>
      </c>
      <c r="G43" s="32" t="str">
        <f t="shared" si="2"/>
        <v>538</v>
      </c>
      <c r="H43" s="32" t="str">
        <f t="shared" si="3"/>
        <v>6933</v>
      </c>
      <c r="I43" s="32" t="str">
        <f t="shared" si="4"/>
        <v>615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>
        <v>1</v>
      </c>
      <c r="Y43">
        <v>1</v>
      </c>
      <c r="Z43">
        <v>1</v>
      </c>
      <c r="AA43">
        <v>1</v>
      </c>
      <c r="AB43"/>
      <c r="AC43"/>
      <c r="AD43"/>
      <c r="AE43"/>
      <c r="AF43"/>
      <c r="AG43"/>
      <c r="AH43"/>
      <c r="AI43"/>
      <c r="AJ43"/>
      <c r="AK43"/>
      <c r="AO43" s="62">
        <f t="shared" si="13"/>
        <v>4</v>
      </c>
      <c r="AP43" s="30" t="str">
        <f t="shared" si="6"/>
        <v>10</v>
      </c>
      <c r="AQ43" s="62">
        <f t="shared" si="14"/>
        <v>4</v>
      </c>
      <c r="AR43" s="63">
        <v>524000</v>
      </c>
      <c r="AS43" s="15">
        <f t="shared" si="15"/>
        <v>524000</v>
      </c>
      <c r="AT43" s="62" t="str">
        <f t="shared" si="9"/>
        <v>3</v>
      </c>
      <c r="AW43" s="64" t="str">
        <f t="shared" si="10"/>
        <v>Y</v>
      </c>
      <c r="AX43" s="64" t="str">
        <f t="shared" ca="1" si="11"/>
        <v>202602</v>
      </c>
      <c r="AY43" s="15">
        <f t="shared" si="16"/>
        <v>524000</v>
      </c>
    </row>
    <row r="44" spans="1:51" ht="16.5" x14ac:dyDescent="0.3">
      <c r="A44" s="32">
        <v>3</v>
      </c>
      <c r="B44" s="32" t="str">
        <f>'[1]근무일표(자동화)'!B47</f>
        <v>김규은</v>
      </c>
      <c r="C44" s="25" t="str">
        <f>_xlfn.IFNA(VLOOKUP(B44,[1]일용주민번호!A:B,2,0),"")</f>
        <v>0406234267717</v>
      </c>
      <c r="D44" s="32" t="str">
        <f t="shared" si="0"/>
        <v>100</v>
      </c>
      <c r="E44" s="25"/>
      <c r="F44" s="32" t="str">
        <f t="shared" si="1"/>
        <v>02</v>
      </c>
      <c r="G44" s="32" t="str">
        <f t="shared" si="2"/>
        <v>538</v>
      </c>
      <c r="H44" s="32" t="str">
        <f t="shared" si="3"/>
        <v>6933</v>
      </c>
      <c r="I44" s="32" t="str">
        <f t="shared" si="4"/>
        <v>615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>
        <v>1</v>
      </c>
      <c r="Y44">
        <v>1</v>
      </c>
      <c r="Z44">
        <v>1</v>
      </c>
      <c r="AA44">
        <v>1</v>
      </c>
      <c r="AB44"/>
      <c r="AC44"/>
      <c r="AD44"/>
      <c r="AE44"/>
      <c r="AF44"/>
      <c r="AG44"/>
      <c r="AH44"/>
      <c r="AI44"/>
      <c r="AJ44"/>
      <c r="AK44"/>
      <c r="AO44" s="62">
        <f t="shared" si="13"/>
        <v>4</v>
      </c>
      <c r="AP44" s="30" t="str">
        <f t="shared" si="6"/>
        <v>10</v>
      </c>
      <c r="AQ44" s="62">
        <f t="shared" si="14"/>
        <v>4</v>
      </c>
      <c r="AR44" s="63">
        <v>524000</v>
      </c>
      <c r="AS44" s="15">
        <f t="shared" si="15"/>
        <v>524000</v>
      </c>
      <c r="AT44" s="62" t="str">
        <f t="shared" si="9"/>
        <v>3</v>
      </c>
      <c r="AW44" s="64" t="str">
        <f t="shared" si="10"/>
        <v>Y</v>
      </c>
      <c r="AX44" s="64" t="str">
        <f t="shared" ca="1" si="11"/>
        <v>202602</v>
      </c>
      <c r="AY44" s="15">
        <f t="shared" si="16"/>
        <v>524000</v>
      </c>
    </row>
    <row r="45" spans="1:51" ht="16.5" x14ac:dyDescent="0.3">
      <c r="A45" s="32">
        <v>3</v>
      </c>
      <c r="B45" s="32" t="str">
        <f>'[1]근무일표(자동화)'!B48</f>
        <v>박수종</v>
      </c>
      <c r="C45" s="25" t="str">
        <f>_xlfn.IFNA(VLOOKUP(B45,[1]일용주민번호!A:B,2,0),"")</f>
        <v>0012133920511</v>
      </c>
      <c r="D45" s="32" t="str">
        <f t="shared" si="0"/>
        <v>100</v>
      </c>
      <c r="E45" s="25"/>
      <c r="F45" s="32" t="str">
        <f t="shared" si="1"/>
        <v>02</v>
      </c>
      <c r="G45" s="32" t="str">
        <f t="shared" si="2"/>
        <v>538</v>
      </c>
      <c r="H45" s="32" t="str">
        <f t="shared" si="3"/>
        <v>6933</v>
      </c>
      <c r="I45" s="32" t="str">
        <f t="shared" si="4"/>
        <v>615</v>
      </c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>
        <v>1</v>
      </c>
      <c r="Y45">
        <v>1</v>
      </c>
      <c r="Z45">
        <v>1</v>
      </c>
      <c r="AA45">
        <v>1</v>
      </c>
      <c r="AB45"/>
      <c r="AC45"/>
      <c r="AD45"/>
      <c r="AE45"/>
      <c r="AF45"/>
      <c r="AG45"/>
      <c r="AH45"/>
      <c r="AI45"/>
      <c r="AJ45"/>
      <c r="AK45"/>
      <c r="AO45" s="62">
        <f t="shared" si="13"/>
        <v>4</v>
      </c>
      <c r="AP45" s="30" t="str">
        <f t="shared" si="6"/>
        <v>10</v>
      </c>
      <c r="AQ45" s="62">
        <f t="shared" si="14"/>
        <v>4</v>
      </c>
      <c r="AR45" s="63">
        <v>524000</v>
      </c>
      <c r="AS45" s="15">
        <f t="shared" si="15"/>
        <v>524000</v>
      </c>
      <c r="AT45" s="62" t="str">
        <f t="shared" si="9"/>
        <v>3</v>
      </c>
      <c r="AW45" s="64" t="str">
        <f t="shared" si="10"/>
        <v>Y</v>
      </c>
      <c r="AX45" s="64" t="str">
        <f t="shared" ca="1" si="11"/>
        <v>202602</v>
      </c>
      <c r="AY45" s="15">
        <f t="shared" si="16"/>
        <v>524000</v>
      </c>
    </row>
    <row r="46" spans="1:51" ht="16.5" x14ac:dyDescent="0.3">
      <c r="A46" s="32">
        <v>3</v>
      </c>
      <c r="B46" s="32" t="str">
        <f>'[1]근무일표(자동화)'!B49</f>
        <v>이혜진</v>
      </c>
      <c r="C46" s="25" t="str">
        <f>_xlfn.IFNA(VLOOKUP(B46,[1]일용주민번호!A:B,2,0),"")</f>
        <v>8006112124127</v>
      </c>
      <c r="D46" s="32" t="str">
        <f t="shared" si="0"/>
        <v>100</v>
      </c>
      <c r="E46" s="25"/>
      <c r="F46" s="32" t="str">
        <f t="shared" si="1"/>
        <v>02</v>
      </c>
      <c r="G46" s="32" t="str">
        <f t="shared" si="2"/>
        <v>538</v>
      </c>
      <c r="H46" s="32" t="str">
        <f t="shared" si="3"/>
        <v>6933</v>
      </c>
      <c r="I46" s="32" t="str">
        <f t="shared" si="4"/>
        <v>615</v>
      </c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>
        <v>1</v>
      </c>
      <c r="Y46">
        <v>1</v>
      </c>
      <c r="Z46">
        <v>1</v>
      </c>
      <c r="AA46">
        <v>1</v>
      </c>
      <c r="AB46"/>
      <c r="AC46"/>
      <c r="AD46"/>
      <c r="AE46"/>
      <c r="AF46"/>
      <c r="AG46"/>
      <c r="AH46"/>
      <c r="AI46"/>
      <c r="AJ46"/>
      <c r="AK46"/>
      <c r="AO46" s="62">
        <f t="shared" si="13"/>
        <v>4</v>
      </c>
      <c r="AP46" s="30" t="str">
        <f t="shared" si="6"/>
        <v>10</v>
      </c>
      <c r="AQ46" s="62">
        <f t="shared" si="14"/>
        <v>4</v>
      </c>
      <c r="AR46" s="63">
        <v>524000</v>
      </c>
      <c r="AS46" s="15">
        <f t="shared" si="15"/>
        <v>524000</v>
      </c>
      <c r="AT46" s="62" t="str">
        <f t="shared" si="9"/>
        <v>3</v>
      </c>
      <c r="AW46" s="64" t="str">
        <f t="shared" si="10"/>
        <v>Y</v>
      </c>
      <c r="AX46" s="64" t="str">
        <f t="shared" ca="1" si="11"/>
        <v>202602</v>
      </c>
      <c r="AY46" s="15">
        <f t="shared" si="16"/>
        <v>524000</v>
      </c>
    </row>
    <row r="47" spans="1:51" ht="16.5" x14ac:dyDescent="0.3">
      <c r="A47" s="32">
        <v>3</v>
      </c>
      <c r="B47" s="32" t="str">
        <f>'[1]근무일표(자동화)'!B50</f>
        <v>이승효</v>
      </c>
      <c r="C47" s="25" t="str">
        <f>_xlfn.IFNA(VLOOKUP(B47,[1]일용주민번호!A:B,2,0),"")</f>
        <v>0904153581219</v>
      </c>
      <c r="D47" s="32" t="str">
        <f t="shared" si="0"/>
        <v>100</v>
      </c>
      <c r="E47" s="25"/>
      <c r="F47" s="32" t="str">
        <f t="shared" si="1"/>
        <v>02</v>
      </c>
      <c r="G47" s="32" t="str">
        <f t="shared" si="2"/>
        <v>538</v>
      </c>
      <c r="H47" s="32" t="str">
        <f t="shared" si="3"/>
        <v>6933</v>
      </c>
      <c r="I47" s="32" t="str">
        <f t="shared" si="4"/>
        <v>615</v>
      </c>
      <c r="J47"/>
      <c r="K47"/>
      <c r="L47"/>
      <c r="M47"/>
      <c r="N47"/>
      <c r="O47"/>
      <c r="P47"/>
      <c r="Q47"/>
      <c r="R47"/>
      <c r="S47"/>
      <c r="T47"/>
      <c r="U47"/>
      <c r="V47"/>
      <c r="W47">
        <v>1</v>
      </c>
      <c r="X47">
        <v>1</v>
      </c>
      <c r="Y47">
        <v>1</v>
      </c>
      <c r="Z47">
        <v>1</v>
      </c>
      <c r="AA47">
        <v>1</v>
      </c>
      <c r="AB47"/>
      <c r="AC47"/>
      <c r="AD47"/>
      <c r="AE47"/>
      <c r="AF47"/>
      <c r="AG47"/>
      <c r="AH47"/>
      <c r="AI47"/>
      <c r="AJ47"/>
      <c r="AK47"/>
      <c r="AO47" s="62">
        <f t="shared" si="13"/>
        <v>5</v>
      </c>
      <c r="AP47" s="30" t="str">
        <f t="shared" si="6"/>
        <v>10</v>
      </c>
      <c r="AQ47" s="62">
        <f t="shared" si="14"/>
        <v>5</v>
      </c>
      <c r="AR47" s="63">
        <v>656000</v>
      </c>
      <c r="AS47" s="15">
        <f t="shared" si="15"/>
        <v>656000</v>
      </c>
      <c r="AT47" s="62" t="str">
        <f t="shared" si="9"/>
        <v>3</v>
      </c>
      <c r="AW47" s="64" t="str">
        <f t="shared" si="10"/>
        <v>Y</v>
      </c>
      <c r="AX47" s="64" t="str">
        <f t="shared" ca="1" si="11"/>
        <v>202602</v>
      </c>
      <c r="AY47" s="15">
        <f t="shared" si="16"/>
        <v>656000</v>
      </c>
    </row>
    <row r="48" spans="1:51" ht="16.5" x14ac:dyDescent="0.3">
      <c r="A48" s="32">
        <v>3</v>
      </c>
      <c r="B48" s="32" t="str">
        <f>'[1]근무일표(자동화)'!B51</f>
        <v>김민수</v>
      </c>
      <c r="C48" s="25" t="str">
        <f>_xlfn.IFNA(VLOOKUP(B48,[1]일용주민번호!A:B,2,0),"")</f>
        <v>0005173803226</v>
      </c>
      <c r="D48" s="32" t="str">
        <f t="shared" si="0"/>
        <v>100</v>
      </c>
      <c r="E48" s="25"/>
      <c r="F48" s="32" t="str">
        <f t="shared" si="1"/>
        <v>02</v>
      </c>
      <c r="G48" s="32" t="str">
        <f t="shared" si="2"/>
        <v>538</v>
      </c>
      <c r="H48" s="32" t="str">
        <f t="shared" si="3"/>
        <v>6933</v>
      </c>
      <c r="I48" s="32" t="str">
        <f t="shared" si="4"/>
        <v>615</v>
      </c>
      <c r="J48"/>
      <c r="K48"/>
      <c r="L48"/>
      <c r="M48"/>
      <c r="N48"/>
      <c r="O48"/>
      <c r="P48"/>
      <c r="Q48"/>
      <c r="R48"/>
      <c r="S48"/>
      <c r="T48"/>
      <c r="U48"/>
      <c r="V48"/>
      <c r="W48">
        <v>1</v>
      </c>
      <c r="X48">
        <v>1</v>
      </c>
      <c r="Y48">
        <v>1</v>
      </c>
      <c r="Z48">
        <v>1</v>
      </c>
      <c r="AA48">
        <v>1</v>
      </c>
      <c r="AB48"/>
      <c r="AC48"/>
      <c r="AD48"/>
      <c r="AE48"/>
      <c r="AF48"/>
      <c r="AG48"/>
      <c r="AH48"/>
      <c r="AI48"/>
      <c r="AJ48"/>
      <c r="AK48"/>
      <c r="AO48" s="62">
        <f t="shared" si="13"/>
        <v>5</v>
      </c>
      <c r="AP48" s="30" t="str">
        <f t="shared" si="6"/>
        <v>10</v>
      </c>
      <c r="AQ48" s="62">
        <f t="shared" si="14"/>
        <v>5</v>
      </c>
      <c r="AR48" s="63">
        <v>492500</v>
      </c>
      <c r="AS48" s="15">
        <f t="shared" si="15"/>
        <v>492500</v>
      </c>
      <c r="AT48" s="62" t="str">
        <f t="shared" si="9"/>
        <v>3</v>
      </c>
      <c r="AW48" s="64" t="str">
        <f t="shared" si="10"/>
        <v>Y</v>
      </c>
      <c r="AX48" s="64" t="str">
        <f t="shared" ca="1" si="11"/>
        <v>202602</v>
      </c>
      <c r="AY48" s="15">
        <f t="shared" si="16"/>
        <v>492500</v>
      </c>
    </row>
    <row r="49" spans="1:51" ht="16.5" x14ac:dyDescent="0.3">
      <c r="A49" s="32">
        <v>3</v>
      </c>
      <c r="B49" s="32" t="str">
        <f>'[1]근무일표(자동화)'!B52</f>
        <v>남지은</v>
      </c>
      <c r="C49" s="25" t="str">
        <f>_xlfn.IFNA(VLOOKUP(B49,[1]일용주민번호!A:B,2,0),"")</f>
        <v>9410262800315</v>
      </c>
      <c r="D49" s="32" t="str">
        <f t="shared" si="0"/>
        <v>100</v>
      </c>
      <c r="E49" s="25"/>
      <c r="F49" s="32" t="str">
        <f t="shared" si="1"/>
        <v>02</v>
      </c>
      <c r="G49" s="32" t="str">
        <f t="shared" si="2"/>
        <v>538</v>
      </c>
      <c r="H49" s="32" t="str">
        <f t="shared" si="3"/>
        <v>6933</v>
      </c>
      <c r="I49" s="32" t="str">
        <f t="shared" si="4"/>
        <v>615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1</v>
      </c>
      <c r="Z49">
        <v>1</v>
      </c>
      <c r="AA49"/>
      <c r="AB49"/>
      <c r="AC49"/>
      <c r="AD49"/>
      <c r="AE49"/>
      <c r="AF49"/>
      <c r="AG49"/>
      <c r="AH49"/>
      <c r="AI49"/>
      <c r="AJ49"/>
      <c r="AK49"/>
      <c r="AO49" s="62">
        <f t="shared" si="13"/>
        <v>2</v>
      </c>
      <c r="AP49" s="30" t="str">
        <f t="shared" si="6"/>
        <v>10</v>
      </c>
      <c r="AQ49" s="62">
        <f t="shared" si="14"/>
        <v>2</v>
      </c>
      <c r="AR49" s="63">
        <v>198200</v>
      </c>
      <c r="AS49" s="15">
        <f t="shared" si="15"/>
        <v>198200</v>
      </c>
      <c r="AT49" s="62" t="str">
        <f t="shared" si="9"/>
        <v>3</v>
      </c>
      <c r="AW49" s="64" t="str">
        <f t="shared" si="10"/>
        <v>Y</v>
      </c>
      <c r="AX49" s="64" t="str">
        <f t="shared" ca="1" si="11"/>
        <v>202602</v>
      </c>
      <c r="AY49" s="15">
        <f t="shared" si="16"/>
        <v>198200</v>
      </c>
    </row>
    <row r="50" spans="1:51" ht="16.5" x14ac:dyDescent="0.3">
      <c r="A50" s="32">
        <v>3</v>
      </c>
      <c r="B50" s="32" t="str">
        <f>'[1]근무일표(자동화)'!B53</f>
        <v>문효정</v>
      </c>
      <c r="C50" s="25" t="str">
        <f>_xlfn.IFNA(VLOOKUP(B50,[1]일용주민번호!A:B,2,0),"")</f>
        <v>6611172121610</v>
      </c>
      <c r="D50" s="32" t="str">
        <f t="shared" si="0"/>
        <v>100</v>
      </c>
      <c r="E50" s="25"/>
      <c r="F50" s="32" t="str">
        <f t="shared" si="1"/>
        <v>02</v>
      </c>
      <c r="G50" s="32" t="str">
        <f t="shared" si="2"/>
        <v>538</v>
      </c>
      <c r="H50" s="32" t="str">
        <f t="shared" si="3"/>
        <v>6933</v>
      </c>
      <c r="I50" s="32" t="str">
        <f t="shared" si="4"/>
        <v>615</v>
      </c>
      <c r="J50"/>
      <c r="K50"/>
      <c r="L50"/>
      <c r="M50"/>
      <c r="N50"/>
      <c r="O50"/>
      <c r="P50"/>
      <c r="Q50"/>
      <c r="R50"/>
      <c r="S50"/>
      <c r="T50"/>
      <c r="U50"/>
      <c r="V50"/>
      <c r="W50">
        <v>1</v>
      </c>
      <c r="X50">
        <v>1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O50" s="62">
        <f t="shared" si="13"/>
        <v>2</v>
      </c>
      <c r="AP50" s="30" t="str">
        <f t="shared" si="6"/>
        <v>10</v>
      </c>
      <c r="AQ50" s="62">
        <f t="shared" si="14"/>
        <v>2</v>
      </c>
      <c r="AR50" s="63">
        <v>173400</v>
      </c>
      <c r="AS50" s="15">
        <f t="shared" si="15"/>
        <v>173400</v>
      </c>
      <c r="AT50" s="62" t="str">
        <f t="shared" si="9"/>
        <v>3</v>
      </c>
      <c r="AW50" s="64" t="str">
        <f t="shared" si="10"/>
        <v>Y</v>
      </c>
      <c r="AX50" s="64" t="str">
        <f t="shared" ca="1" si="11"/>
        <v>202602</v>
      </c>
      <c r="AY50" s="15">
        <f t="shared" si="16"/>
        <v>173400</v>
      </c>
    </row>
    <row r="51" spans="1:51" ht="16.5" x14ac:dyDescent="0.3">
      <c r="A51" s="32">
        <v>3</v>
      </c>
      <c r="B51" s="32" t="str">
        <f>'[1]근무일표(자동화)'!B54</f>
        <v>권유한</v>
      </c>
      <c r="C51" s="25" t="str">
        <f>_xlfn.IFNA(VLOOKUP(B51,[1]일용주민번호!A:B,2,0),"")</f>
        <v>0902203802511</v>
      </c>
      <c r="D51" s="32" t="str">
        <f t="shared" si="0"/>
        <v>100</v>
      </c>
      <c r="E51" s="25"/>
      <c r="F51" s="32" t="str">
        <f t="shared" si="1"/>
        <v>02</v>
      </c>
      <c r="G51" s="32" t="str">
        <f t="shared" si="2"/>
        <v>538</v>
      </c>
      <c r="H51" s="32" t="str">
        <f t="shared" si="3"/>
        <v>6933</v>
      </c>
      <c r="I51" s="32" t="str">
        <f t="shared" si="4"/>
        <v>615</v>
      </c>
      <c r="J51"/>
      <c r="K51"/>
      <c r="L51"/>
      <c r="M51"/>
      <c r="N51"/>
      <c r="O51"/>
      <c r="P51"/>
      <c r="Q51"/>
      <c r="R51"/>
      <c r="S51"/>
      <c r="T51"/>
      <c r="U51"/>
      <c r="V51"/>
      <c r="W51">
        <v>1</v>
      </c>
      <c r="X51">
        <v>1</v>
      </c>
      <c r="Y51">
        <v>1</v>
      </c>
      <c r="Z51">
        <v>1</v>
      </c>
      <c r="AA51"/>
      <c r="AB51"/>
      <c r="AC51"/>
      <c r="AD51"/>
      <c r="AE51"/>
      <c r="AF51"/>
      <c r="AG51"/>
      <c r="AH51"/>
      <c r="AI51"/>
      <c r="AJ51"/>
      <c r="AK51"/>
      <c r="AO51" s="62">
        <f t="shared" si="13"/>
        <v>4</v>
      </c>
      <c r="AP51" s="30" t="str">
        <f t="shared" si="6"/>
        <v>10</v>
      </c>
      <c r="AQ51" s="62">
        <f t="shared" si="14"/>
        <v>4</v>
      </c>
      <c r="AR51" s="63">
        <v>520120</v>
      </c>
      <c r="AS51" s="15">
        <f t="shared" si="15"/>
        <v>520120</v>
      </c>
      <c r="AT51" s="62" t="str">
        <f t="shared" si="9"/>
        <v>3</v>
      </c>
      <c r="AW51" s="64" t="str">
        <f t="shared" si="10"/>
        <v>Y</v>
      </c>
      <c r="AX51" s="64" t="str">
        <f t="shared" ca="1" si="11"/>
        <v>202602</v>
      </c>
      <c r="AY51" s="15">
        <f t="shared" si="16"/>
        <v>520120</v>
      </c>
    </row>
    <row r="52" spans="1:51" ht="16.5" x14ac:dyDescent="0.3">
      <c r="A52" s="32">
        <v>3</v>
      </c>
      <c r="B52" s="32" t="str">
        <f>'[1]근무일표(자동화)'!B55</f>
        <v>이재훈</v>
      </c>
      <c r="C52" s="25" t="str">
        <f>_xlfn.IFNA(VLOOKUP(B52,[1]일용주민번호!A:B,2,0),"")</f>
        <v>9301141684911</v>
      </c>
      <c r="D52" s="32" t="str">
        <f t="shared" si="0"/>
        <v>100</v>
      </c>
      <c r="E52" s="25"/>
      <c r="F52" s="32" t="str">
        <f t="shared" si="1"/>
        <v>02</v>
      </c>
      <c r="G52" s="32" t="str">
        <f t="shared" si="2"/>
        <v>538</v>
      </c>
      <c r="H52" s="32" t="str">
        <f t="shared" si="3"/>
        <v>6933</v>
      </c>
      <c r="I52" s="32" t="str">
        <f t="shared" si="4"/>
        <v>615</v>
      </c>
      <c r="J52"/>
      <c r="K52"/>
      <c r="L52"/>
      <c r="M52"/>
      <c r="N52"/>
      <c r="O52"/>
      <c r="P52"/>
      <c r="Q52"/>
      <c r="R52"/>
      <c r="S52"/>
      <c r="T52"/>
      <c r="U52"/>
      <c r="V52"/>
      <c r="W52">
        <v>1</v>
      </c>
      <c r="X52">
        <v>1</v>
      </c>
      <c r="Y52">
        <v>1</v>
      </c>
      <c r="Z52">
        <v>1</v>
      </c>
      <c r="AA52">
        <v>1</v>
      </c>
      <c r="AB52"/>
      <c r="AC52"/>
      <c r="AD52"/>
      <c r="AE52"/>
      <c r="AF52"/>
      <c r="AG52"/>
      <c r="AH52"/>
      <c r="AI52"/>
      <c r="AJ52"/>
      <c r="AK52"/>
      <c r="AO52" s="62">
        <f t="shared" si="13"/>
        <v>5</v>
      </c>
      <c r="AP52" s="30" t="str">
        <f t="shared" si="6"/>
        <v>10</v>
      </c>
      <c r="AQ52" s="62">
        <f t="shared" si="14"/>
        <v>5</v>
      </c>
      <c r="AR52" s="63">
        <v>650150</v>
      </c>
      <c r="AS52" s="15">
        <f t="shared" si="15"/>
        <v>650150</v>
      </c>
      <c r="AT52" s="62" t="str">
        <f t="shared" si="9"/>
        <v>3</v>
      </c>
      <c r="AW52" s="64" t="str">
        <f t="shared" si="10"/>
        <v>Y</v>
      </c>
      <c r="AX52" s="64" t="str">
        <f t="shared" ca="1" si="11"/>
        <v>202602</v>
      </c>
      <c r="AY52" s="15">
        <f t="shared" si="16"/>
        <v>650150</v>
      </c>
    </row>
    <row r="53" spans="1:51" ht="16.5" x14ac:dyDescent="0.3">
      <c r="A53" s="32">
        <v>3</v>
      </c>
      <c r="B53" s="32" t="str">
        <f>'[1]근무일표(자동화)'!B56</f>
        <v>권주한</v>
      </c>
      <c r="C53" s="25" t="str">
        <f>_xlfn.IFNA(VLOOKUP(B53,[1]일용주민번호!A:B,2,0),"")</f>
        <v>0710253802510</v>
      </c>
      <c r="D53" s="32" t="str">
        <f t="shared" si="0"/>
        <v>100</v>
      </c>
      <c r="E53" s="25"/>
      <c r="F53" s="32" t="str">
        <f t="shared" si="1"/>
        <v>02</v>
      </c>
      <c r="G53" s="32" t="str">
        <f t="shared" si="2"/>
        <v>538</v>
      </c>
      <c r="H53" s="32" t="str">
        <f t="shared" si="3"/>
        <v>6933</v>
      </c>
      <c r="I53" s="32" t="str">
        <f t="shared" si="4"/>
        <v>615</v>
      </c>
      <c r="J53"/>
      <c r="K53"/>
      <c r="L53"/>
      <c r="M53"/>
      <c r="N53"/>
      <c r="O53"/>
      <c r="P53"/>
      <c r="Q53"/>
      <c r="R53"/>
      <c r="S53"/>
      <c r="T53"/>
      <c r="U53"/>
      <c r="V53"/>
      <c r="W53">
        <v>1</v>
      </c>
      <c r="X53">
        <v>1</v>
      </c>
      <c r="Y53">
        <v>1</v>
      </c>
      <c r="Z53">
        <v>1</v>
      </c>
      <c r="AA53"/>
      <c r="AB53"/>
      <c r="AC53"/>
      <c r="AD53"/>
      <c r="AE53"/>
      <c r="AF53"/>
      <c r="AG53"/>
      <c r="AH53"/>
      <c r="AI53"/>
      <c r="AJ53"/>
      <c r="AK53"/>
      <c r="AO53" s="62">
        <f t="shared" si="13"/>
        <v>4</v>
      </c>
      <c r="AP53" s="30" t="str">
        <f t="shared" si="6"/>
        <v>10</v>
      </c>
      <c r="AQ53" s="62">
        <f t="shared" si="14"/>
        <v>4</v>
      </c>
      <c r="AR53" s="63">
        <v>520120</v>
      </c>
      <c r="AS53" s="15">
        <f t="shared" si="15"/>
        <v>520120</v>
      </c>
      <c r="AT53" s="62" t="str">
        <f t="shared" si="9"/>
        <v>3</v>
      </c>
      <c r="AW53" s="64" t="str">
        <f t="shared" si="10"/>
        <v>Y</v>
      </c>
      <c r="AX53" s="64" t="str">
        <f t="shared" ca="1" si="11"/>
        <v>202602</v>
      </c>
      <c r="AY53" s="15">
        <f t="shared" si="16"/>
        <v>520120</v>
      </c>
    </row>
    <row r="54" spans="1:51" ht="16.5" x14ac:dyDescent="0.3">
      <c r="A54" s="32">
        <v>3</v>
      </c>
      <c r="B54" s="32" t="str">
        <f>'[1]근무일표(자동화)'!B57</f>
        <v>이정아</v>
      </c>
      <c r="C54" s="25" t="str">
        <f>_xlfn.IFNA(VLOOKUP(B54,[1]일용주민번호!A:B,2,0),"")</f>
        <v>7102022697319</v>
      </c>
      <c r="D54" s="32" t="str">
        <f t="shared" si="0"/>
        <v>100</v>
      </c>
      <c r="E54" s="25"/>
      <c r="F54" s="32" t="str">
        <f t="shared" si="1"/>
        <v>02</v>
      </c>
      <c r="G54" s="32" t="str">
        <f t="shared" si="2"/>
        <v>538</v>
      </c>
      <c r="H54" s="32" t="str">
        <f t="shared" si="3"/>
        <v>6933</v>
      </c>
      <c r="I54" s="32" t="str">
        <f t="shared" si="4"/>
        <v>615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>
        <v>1</v>
      </c>
      <c r="AA54"/>
      <c r="AB54"/>
      <c r="AC54"/>
      <c r="AD54"/>
      <c r="AE54"/>
      <c r="AF54"/>
      <c r="AG54"/>
      <c r="AH54"/>
      <c r="AI54"/>
      <c r="AJ54"/>
      <c r="AK54"/>
      <c r="AO54" s="62">
        <f t="shared" si="13"/>
        <v>1</v>
      </c>
      <c r="AP54" s="30" t="str">
        <f t="shared" si="6"/>
        <v>10</v>
      </c>
      <c r="AQ54" s="62">
        <f t="shared" si="14"/>
        <v>1</v>
      </c>
      <c r="AR54" s="63">
        <v>130030</v>
      </c>
      <c r="AS54" s="15">
        <f t="shared" si="15"/>
        <v>130030</v>
      </c>
      <c r="AT54" s="62" t="str">
        <f t="shared" si="9"/>
        <v>3</v>
      </c>
      <c r="AW54" s="64" t="str">
        <f t="shared" si="10"/>
        <v>Y</v>
      </c>
      <c r="AX54" s="64" t="str">
        <f t="shared" ca="1" si="11"/>
        <v>202602</v>
      </c>
      <c r="AY54" s="15">
        <f t="shared" si="16"/>
        <v>130030</v>
      </c>
    </row>
    <row r="55" spans="1:51" ht="16.5" x14ac:dyDescent="0.3">
      <c r="A55" s="32">
        <v>3</v>
      </c>
      <c r="B55" s="32" t="str">
        <f>'[1]근무일표(자동화)'!B58</f>
        <v>이미화</v>
      </c>
      <c r="C55" s="25" t="str">
        <f>_xlfn.IFNA(VLOOKUP(B55,[1]일용주민번호!A:B,2,0),"")</f>
        <v>7109122800513</v>
      </c>
      <c r="D55" s="32" t="str">
        <f t="shared" si="0"/>
        <v>100</v>
      </c>
      <c r="E55" s="25"/>
      <c r="F55" s="32" t="str">
        <f t="shared" si="1"/>
        <v>02</v>
      </c>
      <c r="G55" s="32" t="str">
        <f t="shared" si="2"/>
        <v>538</v>
      </c>
      <c r="H55" s="32" t="str">
        <f t="shared" si="3"/>
        <v>6933</v>
      </c>
      <c r="I55" s="32" t="str">
        <f t="shared" si="4"/>
        <v>615</v>
      </c>
      <c r="J55"/>
      <c r="K55"/>
      <c r="L55"/>
      <c r="M55"/>
      <c r="N55"/>
      <c r="O55"/>
      <c r="P55"/>
      <c r="Q55"/>
      <c r="R55"/>
      <c r="S55"/>
      <c r="T55"/>
      <c r="U55"/>
      <c r="V55"/>
      <c r="W55">
        <v>1</v>
      </c>
      <c r="X55">
        <v>1</v>
      </c>
      <c r="Y55">
        <v>1</v>
      </c>
      <c r="Z55">
        <v>1</v>
      </c>
      <c r="AA55">
        <v>1</v>
      </c>
      <c r="AB55"/>
      <c r="AC55"/>
      <c r="AD55"/>
      <c r="AE55"/>
      <c r="AF55"/>
      <c r="AG55"/>
      <c r="AH55"/>
      <c r="AI55"/>
      <c r="AJ55"/>
      <c r="AK55"/>
      <c r="AO55" s="62">
        <f t="shared" si="13"/>
        <v>5</v>
      </c>
      <c r="AP55" s="30" t="str">
        <f t="shared" si="6"/>
        <v>10</v>
      </c>
      <c r="AQ55" s="62">
        <f t="shared" si="14"/>
        <v>5</v>
      </c>
      <c r="AR55" s="63">
        <v>650150</v>
      </c>
      <c r="AS55" s="15">
        <f t="shared" si="15"/>
        <v>650150</v>
      </c>
      <c r="AT55" s="62" t="str">
        <f t="shared" si="9"/>
        <v>3</v>
      </c>
      <c r="AW55" s="64" t="str">
        <f t="shared" si="10"/>
        <v>Y</v>
      </c>
      <c r="AX55" s="64" t="str">
        <f t="shared" ca="1" si="11"/>
        <v>202602</v>
      </c>
      <c r="AY55" s="15">
        <f t="shared" si="16"/>
        <v>650150</v>
      </c>
    </row>
    <row r="56" spans="1:51" ht="16.5" x14ac:dyDescent="0.3">
      <c r="A56" s="32">
        <v>3</v>
      </c>
      <c r="B56" s="32" t="str">
        <f>'[1]근무일표(자동화)'!B59</f>
        <v>김민준</v>
      </c>
      <c r="C56" s="25" t="str">
        <f>_xlfn.IFNA(VLOOKUP(B56,[1]일용주민번호!A:B,2,0),"")</f>
        <v>8605231683814</v>
      </c>
      <c r="D56" s="32" t="str">
        <f t="shared" si="0"/>
        <v>100</v>
      </c>
      <c r="E56" s="25"/>
      <c r="F56" s="32" t="str">
        <f t="shared" si="1"/>
        <v>02</v>
      </c>
      <c r="G56" s="32" t="str">
        <f t="shared" si="2"/>
        <v>538</v>
      </c>
      <c r="H56" s="32" t="str">
        <f t="shared" si="3"/>
        <v>6933</v>
      </c>
      <c r="I56" s="32" t="str">
        <f t="shared" si="4"/>
        <v>615</v>
      </c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1</v>
      </c>
      <c r="Z56">
        <v>1</v>
      </c>
      <c r="AA56">
        <v>1</v>
      </c>
      <c r="AB56"/>
      <c r="AC56"/>
      <c r="AD56"/>
      <c r="AE56"/>
      <c r="AF56"/>
      <c r="AG56"/>
      <c r="AH56"/>
      <c r="AI56"/>
      <c r="AJ56"/>
      <c r="AK56"/>
      <c r="AO56" s="62">
        <f t="shared" si="13"/>
        <v>3</v>
      </c>
      <c r="AP56" s="30" t="str">
        <f t="shared" si="6"/>
        <v>10</v>
      </c>
      <c r="AQ56" s="62">
        <f t="shared" si="14"/>
        <v>3</v>
      </c>
      <c r="AR56" s="63">
        <v>390090</v>
      </c>
      <c r="AS56" s="15">
        <f t="shared" si="15"/>
        <v>390090</v>
      </c>
      <c r="AT56" s="62" t="str">
        <f t="shared" si="9"/>
        <v>3</v>
      </c>
      <c r="AW56" s="64" t="str">
        <f t="shared" si="10"/>
        <v>Y</v>
      </c>
      <c r="AX56" s="64" t="str">
        <f t="shared" ca="1" si="11"/>
        <v>202602</v>
      </c>
      <c r="AY56" s="15">
        <f t="shared" si="16"/>
        <v>390090</v>
      </c>
    </row>
    <row r="57" spans="1:51" ht="16.5" x14ac:dyDescent="0.3">
      <c r="A57" s="32">
        <v>3</v>
      </c>
      <c r="B57" s="32" t="str">
        <f>'[1]근무일표(자동화)'!B60</f>
        <v>허윤지</v>
      </c>
      <c r="C57" s="25" t="str">
        <f>_xlfn.IFNA(VLOOKUP(B57,[1]일용주민번호!A:B,2,0),"")</f>
        <v>8905102024917</v>
      </c>
      <c r="D57" s="32" t="str">
        <f t="shared" si="0"/>
        <v>100</v>
      </c>
      <c r="E57" s="25"/>
      <c r="F57" s="32" t="str">
        <f t="shared" si="1"/>
        <v>02</v>
      </c>
      <c r="G57" s="32" t="str">
        <f t="shared" si="2"/>
        <v>538</v>
      </c>
      <c r="H57" s="32" t="str">
        <f t="shared" si="3"/>
        <v>6933</v>
      </c>
      <c r="I57" s="32" t="str">
        <f t="shared" si="4"/>
        <v>615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>
        <v>1</v>
      </c>
      <c r="Y57">
        <v>1</v>
      </c>
      <c r="Z57">
        <v>1</v>
      </c>
      <c r="AA57">
        <v>1</v>
      </c>
      <c r="AB57"/>
      <c r="AC57"/>
      <c r="AD57"/>
      <c r="AE57"/>
      <c r="AF57"/>
      <c r="AG57"/>
      <c r="AH57"/>
      <c r="AI57"/>
      <c r="AJ57"/>
      <c r="AK57"/>
      <c r="AO57" s="62">
        <f t="shared" si="13"/>
        <v>4</v>
      </c>
      <c r="AP57" s="30" t="str">
        <f t="shared" si="6"/>
        <v>10</v>
      </c>
      <c r="AQ57" s="62">
        <f t="shared" si="14"/>
        <v>4</v>
      </c>
      <c r="AR57" s="63">
        <v>520120</v>
      </c>
      <c r="AS57" s="15">
        <f t="shared" si="15"/>
        <v>520120</v>
      </c>
      <c r="AT57" s="62" t="str">
        <f t="shared" si="9"/>
        <v>3</v>
      </c>
      <c r="AW57" s="64" t="str">
        <f t="shared" si="10"/>
        <v>Y</v>
      </c>
      <c r="AX57" s="64" t="str">
        <f t="shared" ca="1" si="11"/>
        <v>202602</v>
      </c>
      <c r="AY57" s="15">
        <f t="shared" si="16"/>
        <v>520120</v>
      </c>
    </row>
    <row r="58" spans="1:51" ht="16.5" x14ac:dyDescent="0.3">
      <c r="A58" s="32">
        <v>3</v>
      </c>
      <c r="B58" s="32" t="str">
        <f>'[1]근무일표(자동화)'!B61</f>
        <v>조서현</v>
      </c>
      <c r="C58" s="25" t="str">
        <f>_xlfn.IFNA(VLOOKUP(B58,[1]일용주민번호!A:B,2,0),"")</f>
        <v>7702072788611</v>
      </c>
      <c r="D58" s="32" t="str">
        <f t="shared" si="0"/>
        <v>100</v>
      </c>
      <c r="E58" s="25"/>
      <c r="F58" s="32" t="str">
        <f t="shared" si="1"/>
        <v>02</v>
      </c>
      <c r="G58" s="32" t="str">
        <f t="shared" si="2"/>
        <v>538</v>
      </c>
      <c r="H58" s="32" t="str">
        <f t="shared" si="3"/>
        <v>6933</v>
      </c>
      <c r="I58" s="32" t="str">
        <f t="shared" si="4"/>
        <v>615</v>
      </c>
      <c r="J58"/>
      <c r="K58"/>
      <c r="L58"/>
      <c r="M58"/>
      <c r="N58"/>
      <c r="O58"/>
      <c r="P58"/>
      <c r="Q58"/>
      <c r="R58"/>
      <c r="S58"/>
      <c r="T58"/>
      <c r="U58"/>
      <c r="V58"/>
      <c r="W58">
        <v>1</v>
      </c>
      <c r="X58">
        <v>1</v>
      </c>
      <c r="Y58">
        <v>1</v>
      </c>
      <c r="Z58">
        <v>1</v>
      </c>
      <c r="AA58">
        <v>1</v>
      </c>
      <c r="AB58"/>
      <c r="AC58"/>
      <c r="AD58"/>
      <c r="AE58"/>
      <c r="AF58"/>
      <c r="AG58"/>
      <c r="AH58"/>
      <c r="AI58"/>
      <c r="AJ58"/>
      <c r="AK58"/>
      <c r="AO58" s="62">
        <f t="shared" si="13"/>
        <v>5</v>
      </c>
      <c r="AP58" s="30" t="str">
        <f t="shared" si="6"/>
        <v>10</v>
      </c>
      <c r="AQ58" s="62">
        <f t="shared" si="14"/>
        <v>5</v>
      </c>
      <c r="AR58" s="63">
        <v>650150</v>
      </c>
      <c r="AS58" s="15">
        <f t="shared" si="15"/>
        <v>650150</v>
      </c>
      <c r="AT58" s="62" t="str">
        <f t="shared" si="9"/>
        <v>3</v>
      </c>
      <c r="AW58" s="64" t="str">
        <f t="shared" si="10"/>
        <v>Y</v>
      </c>
      <c r="AX58" s="64" t="str">
        <f t="shared" ca="1" si="11"/>
        <v>202602</v>
      </c>
      <c r="AY58" s="15">
        <f t="shared" si="16"/>
        <v>650150</v>
      </c>
    </row>
  </sheetData>
  <phoneticPr fontId="1" type="noConversion"/>
  <conditionalFormatting sqref="B2:B58">
    <cfRule type="duplicateValues" dxfId="0" priority="1"/>
  </conditionalFormatting>
  <dataValidations disablePrompts="1" xWindow="1560" yWindow="251" count="15">
    <dataValidation allowBlank="1" showInputMessage="1" showErrorMessage="1" promptTitle="주민(외국인)등록번호" prompt="'-' 제외한 13자리 숫자만 입력" sqref="C1"/>
    <dataValidation allowBlank="1" showInputMessage="1" showErrorMessage="1" promptTitle="신고 근로자의 국적" prompt="국적,직종,보험료부과구분코드 시트 참고_x000a_" sqref="D1"/>
    <dataValidation allowBlank="1" showInputMessage="1" showErrorMessage="1" promptTitle="근로자의 체류자격" prompt="체류자격 시트 참고, '-' 제외한 코드 기재" sqref="E1"/>
    <dataValidation allowBlank="1" showInputMessage="1" showErrorMessage="1" promptTitle="전화번호의 지역번호" prompt="휴대전화인 경우, 011,010 등 기재" sqref="F1"/>
    <dataValidation allowBlank="1" showInputMessage="1" showErrorMessage="1" promptTitle="근로자의 직종코드" prompt="국적,직종,보험료부과구분코드 시트 및 한국고용직업분류 중 소분류(136개) 직종현황 참고_x000a_" sqref="I1"/>
    <dataValidation allowBlank="1" showInputMessage="1" showErrorMessage="1" promptTitle="실제 근로를 제공한 날" prompt="해당 날짜에 '1' 기재" sqref="J1:AN1"/>
    <dataValidation allowBlank="1" showInputMessage="1" showErrorMessage="1" promptTitle="근로날짜의 합" prompt="신고 근로년월에 실제 근로를 제공한 일수" sqref="AO1"/>
    <dataValidation allowBlank="1" showInputMessage="1" showErrorMessage="1" promptTitle="피보험기간 중 보수지급의 기초가 된 일수" prompt="현실적으로 근로하지 않았으나 보수를 지급한 날(유급휴일 등)은 포함되며, 무급휴일 등 보수를 지급하지 않은 경우는 제외" sqref="AQ1"/>
    <dataValidation allowBlank="1" showInputMessage="1" showErrorMessage="1" promptTitle="해당 월에 발생된 과세소득 금액" prompt="근로소득(소득세법 제20조) - 비과세 근로소득(소득세법 제12조제3호)" sqref="AR1"/>
    <dataValidation allowBlank="1" showInputMessage="1" showErrorMessage="1" promptTitle="해당 월에 발생한 임금 총액" prompt="근로기준법 제2조에 따른 임금" sqref="AS1"/>
    <dataValidation allowBlank="1" showInputMessage="1" showErrorMessage="1" promptTitle="해당자만 기재" prompt="보험료부과구분 코드 시트 참고" sqref="AU1"/>
    <dataValidation allowBlank="1" showInputMessage="1" showErrorMessage="1" promptTitle="해당자만 기재" prompt="보험료부과구분코드 시트 참고" sqref="AV1"/>
    <dataValidation allowBlank="1" showInputMessage="1" showErrorMessage="1" promptTitle="신고시 Y 기재" prompt="Y 기재시, 이하 지급월 ~ 지방소득세 부분을 반드시 기재_x000a_지급월 기재하지 않으면 전송대상에서 제외_x000a_지급월만 기재되고 나머지 사항 미기재시 0원 신고로 전송" sqref="AW1"/>
    <dataValidation allowBlank="1" showInputMessage="1" showErrorMessage="1" promptTitle="보험구분 선택" prompt="1. 산재보험_x000a_3. 고용보험_x000a_5. 산재 및 고용보험" sqref="A1"/>
    <dataValidation allowBlank="1" showInputMessage="1" showErrorMessage="1" promptTitle="이직사유코드(고용보험 신고시)" prompt="1. 회사의 사정에 의한 이직_x000a_2. 부득이한 개인 사정에 의한 이직_x000a_3. 기타 개인사정에 의한 이직_x000a_* 작성방법 시트 참조_x000a_" sqref="AT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zoomScaleNormal="100" zoomScaleSheetLayoutView="100" workbookViewId="0">
      <selection activeCell="A3" sqref="A3"/>
    </sheetView>
  </sheetViews>
  <sheetFormatPr defaultRowHeight="13.5" x14ac:dyDescent="0.3"/>
  <cols>
    <col min="1" max="1" width="7.375" style="1" customWidth="1"/>
    <col min="2" max="2" width="25.375" style="2" bestFit="1" customWidth="1"/>
    <col min="3" max="3" width="86.5" style="3" bestFit="1" customWidth="1"/>
    <col min="4" max="4" width="16.125" style="1" bestFit="1" customWidth="1"/>
    <col min="5" max="16384" width="9" style="1"/>
  </cols>
  <sheetData>
    <row r="1" spans="1:4" ht="30" customHeight="1" x14ac:dyDescent="0.3">
      <c r="A1" s="4" t="s">
        <v>789</v>
      </c>
      <c r="C1" s="1"/>
    </row>
    <row r="2" spans="1:4" ht="5.0999999999999996" customHeight="1" x14ac:dyDescent="0.3">
      <c r="A2" s="4"/>
      <c r="C2" s="1"/>
    </row>
    <row r="3" spans="1:4" ht="103.5" customHeight="1" x14ac:dyDescent="0.3">
      <c r="A3" s="34">
        <v>1</v>
      </c>
      <c r="B3" s="40" t="s">
        <v>48</v>
      </c>
      <c r="C3" s="24" t="s">
        <v>823</v>
      </c>
      <c r="D3" s="55"/>
    </row>
    <row r="4" spans="1:4" ht="30" customHeight="1" x14ac:dyDescent="0.3">
      <c r="A4" s="34">
        <v>2</v>
      </c>
      <c r="B4" s="40" t="s">
        <v>49</v>
      </c>
      <c r="C4" s="23" t="s">
        <v>89</v>
      </c>
      <c r="D4" s="55"/>
    </row>
    <row r="5" spans="1:4" ht="30" customHeight="1" x14ac:dyDescent="0.3">
      <c r="A5" s="34">
        <v>3</v>
      </c>
      <c r="B5" s="41" t="s">
        <v>57</v>
      </c>
      <c r="C5" s="35" t="s">
        <v>818</v>
      </c>
      <c r="D5" s="55"/>
    </row>
    <row r="6" spans="1:4" ht="30" customHeight="1" x14ac:dyDescent="0.3">
      <c r="A6" s="37">
        <v>4</v>
      </c>
      <c r="B6" s="43" t="s">
        <v>14</v>
      </c>
      <c r="C6" s="35" t="s">
        <v>812</v>
      </c>
      <c r="D6" s="55"/>
    </row>
    <row r="7" spans="1:4" ht="30" customHeight="1" x14ac:dyDescent="0.3">
      <c r="A7" s="37">
        <v>5</v>
      </c>
      <c r="B7" s="43" t="s">
        <v>15</v>
      </c>
      <c r="C7" s="23" t="s">
        <v>813</v>
      </c>
      <c r="D7" s="55"/>
    </row>
    <row r="8" spans="1:4" ht="30" customHeight="1" x14ac:dyDescent="0.3">
      <c r="A8" s="37">
        <v>6</v>
      </c>
      <c r="B8" s="44" t="s">
        <v>52</v>
      </c>
      <c r="C8" s="36" t="s">
        <v>814</v>
      </c>
      <c r="D8" s="55"/>
    </row>
    <row r="9" spans="1:4" ht="30" customHeight="1" x14ac:dyDescent="0.3">
      <c r="A9" s="37">
        <v>7</v>
      </c>
      <c r="B9" s="43" t="s">
        <v>54</v>
      </c>
      <c r="C9" s="35" t="s">
        <v>815</v>
      </c>
      <c r="D9" s="55"/>
    </row>
    <row r="10" spans="1:4" ht="30" customHeight="1" x14ac:dyDescent="0.3">
      <c r="A10" s="37">
        <v>8</v>
      </c>
      <c r="B10" s="43" t="s">
        <v>56</v>
      </c>
      <c r="C10" s="36" t="s">
        <v>816</v>
      </c>
      <c r="D10" s="55"/>
    </row>
    <row r="11" spans="1:4" ht="30" customHeight="1" x14ac:dyDescent="0.3">
      <c r="A11" s="53">
        <v>9</v>
      </c>
      <c r="B11" s="54" t="s">
        <v>16</v>
      </c>
      <c r="C11" s="23" t="s">
        <v>833</v>
      </c>
      <c r="D11" s="55"/>
    </row>
    <row r="12" spans="1:4" ht="30" customHeight="1" x14ac:dyDescent="0.3">
      <c r="A12" s="34">
        <v>10</v>
      </c>
      <c r="B12" s="42" t="s">
        <v>50</v>
      </c>
      <c r="C12" s="35" t="s">
        <v>817</v>
      </c>
      <c r="D12" s="55"/>
    </row>
    <row r="13" spans="1:4" ht="30" customHeight="1" x14ac:dyDescent="0.3">
      <c r="A13" s="34">
        <v>11</v>
      </c>
      <c r="B13" s="42" t="s">
        <v>44</v>
      </c>
      <c r="C13" s="35" t="s">
        <v>819</v>
      </c>
      <c r="D13" s="55"/>
    </row>
    <row r="14" spans="1:4" ht="30" customHeight="1" x14ac:dyDescent="0.3">
      <c r="A14" s="34">
        <v>12</v>
      </c>
      <c r="B14" s="42" t="s">
        <v>77</v>
      </c>
      <c r="C14" s="36" t="s">
        <v>820</v>
      </c>
      <c r="D14" s="55"/>
    </row>
    <row r="15" spans="1:4" ht="50.1" customHeight="1" x14ac:dyDescent="0.3">
      <c r="A15" s="34">
        <v>13</v>
      </c>
      <c r="B15" s="42" t="s">
        <v>808</v>
      </c>
      <c r="C15" s="52" t="s">
        <v>787</v>
      </c>
      <c r="D15" s="55"/>
    </row>
    <row r="16" spans="1:4" ht="30" customHeight="1" x14ac:dyDescent="0.3">
      <c r="A16" s="34">
        <v>14</v>
      </c>
      <c r="B16" s="42" t="s">
        <v>45</v>
      </c>
      <c r="C16" s="36" t="s">
        <v>821</v>
      </c>
      <c r="D16" s="55"/>
    </row>
    <row r="17" spans="1:4" ht="30" customHeight="1" x14ac:dyDescent="0.3">
      <c r="A17" s="34">
        <v>15</v>
      </c>
      <c r="B17" s="42" t="s">
        <v>46</v>
      </c>
      <c r="C17" s="35" t="s">
        <v>822</v>
      </c>
      <c r="D17" s="55"/>
    </row>
    <row r="18" spans="1:4" ht="60" customHeight="1" x14ac:dyDescent="0.3">
      <c r="A18" s="37">
        <v>16</v>
      </c>
      <c r="B18" s="45" t="s">
        <v>47</v>
      </c>
      <c r="C18" s="38" t="s">
        <v>824</v>
      </c>
      <c r="D18" s="55"/>
    </row>
    <row r="19" spans="1:4" ht="30" customHeight="1" x14ac:dyDescent="0.3">
      <c r="A19" s="34">
        <v>17</v>
      </c>
      <c r="B19" s="46" t="s">
        <v>78</v>
      </c>
      <c r="C19" s="23" t="s">
        <v>825</v>
      </c>
      <c r="D19" s="55"/>
    </row>
    <row r="20" spans="1:4" ht="30" customHeight="1" x14ac:dyDescent="0.3">
      <c r="A20" s="34">
        <v>18</v>
      </c>
      <c r="B20" s="46" t="s">
        <v>109</v>
      </c>
      <c r="C20" s="23" t="s">
        <v>826</v>
      </c>
      <c r="D20" s="55"/>
    </row>
    <row r="21" spans="1:4" ht="30" customHeight="1" x14ac:dyDescent="0.3">
      <c r="A21" s="22">
        <v>19</v>
      </c>
      <c r="B21" s="47" t="s">
        <v>784</v>
      </c>
      <c r="C21" s="56" t="s">
        <v>117</v>
      </c>
      <c r="D21" s="66" t="s">
        <v>829</v>
      </c>
    </row>
    <row r="22" spans="1:4" ht="30" customHeight="1" x14ac:dyDescent="0.3">
      <c r="A22" s="22">
        <v>20</v>
      </c>
      <c r="B22" s="47" t="s">
        <v>122</v>
      </c>
      <c r="C22" s="10" t="s">
        <v>788</v>
      </c>
      <c r="D22" s="67"/>
    </row>
    <row r="23" spans="1:4" ht="30" customHeight="1" x14ac:dyDescent="0.3">
      <c r="A23" s="22">
        <v>21</v>
      </c>
      <c r="B23" s="47" t="s">
        <v>120</v>
      </c>
      <c r="C23" s="10" t="s">
        <v>828</v>
      </c>
      <c r="D23" s="67"/>
    </row>
    <row r="24" spans="1:4" ht="30" customHeight="1" x14ac:dyDescent="0.3">
      <c r="A24" s="22">
        <v>22</v>
      </c>
      <c r="B24" s="47" t="s">
        <v>110</v>
      </c>
      <c r="C24" s="23" t="s">
        <v>113</v>
      </c>
      <c r="D24" s="67"/>
    </row>
    <row r="25" spans="1:4" ht="30" customHeight="1" x14ac:dyDescent="0.3">
      <c r="A25" s="22">
        <v>23</v>
      </c>
      <c r="B25" s="47" t="s">
        <v>111</v>
      </c>
      <c r="C25" s="24" t="s">
        <v>114</v>
      </c>
      <c r="D25" s="67"/>
    </row>
    <row r="26" spans="1:4" ht="30" customHeight="1" x14ac:dyDescent="0.3">
      <c r="A26" s="22">
        <v>24</v>
      </c>
      <c r="B26" s="47" t="s">
        <v>112</v>
      </c>
      <c r="C26" s="23" t="s">
        <v>785</v>
      </c>
      <c r="D26" s="68"/>
    </row>
    <row r="27" spans="1:4" ht="16.5" customHeight="1" x14ac:dyDescent="0.3">
      <c r="A27" s="69" t="s">
        <v>827</v>
      </c>
      <c r="B27" s="69"/>
      <c r="C27" s="69"/>
    </row>
  </sheetData>
  <mergeCells count="2">
    <mergeCell ref="D21:D26"/>
    <mergeCell ref="A27:C2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B11"/>
  <sheetViews>
    <sheetView zoomScaleNormal="100" workbookViewId="0">
      <pane ySplit="1" topLeftCell="A2" activePane="bottomLeft" state="frozen"/>
      <selection pane="bottomLeft" activeCell="A12" sqref="A12"/>
    </sheetView>
  </sheetViews>
  <sheetFormatPr defaultRowHeight="16.5" x14ac:dyDescent="0.3"/>
  <cols>
    <col min="1" max="1" width="8.25" style="8" bestFit="1" customWidth="1"/>
    <col min="2" max="2" width="8.375" style="8" bestFit="1" customWidth="1"/>
    <col min="3" max="3" width="18.375" style="8" bestFit="1" customWidth="1"/>
    <col min="4" max="4" width="8.25" style="8" bestFit="1" customWidth="1"/>
    <col min="5" max="5" width="11.625" style="8" bestFit="1" customWidth="1"/>
    <col min="6" max="6" width="12.875" style="8" bestFit="1" customWidth="1"/>
    <col min="7" max="7" width="9.375" style="8" bestFit="1" customWidth="1"/>
    <col min="8" max="8" width="11" style="8" bestFit="1" customWidth="1"/>
    <col min="9" max="9" width="8.25" style="8" bestFit="1" customWidth="1"/>
    <col min="10" max="18" width="4.25" style="7" bestFit="1" customWidth="1"/>
    <col min="19" max="40" width="5.125" style="7" bestFit="1" customWidth="1"/>
    <col min="41" max="41" width="8.25" style="7" bestFit="1" customWidth="1"/>
    <col min="42" max="42" width="13.375" style="7" bestFit="1" customWidth="1"/>
    <col min="43" max="43" width="13.375" style="6" bestFit="1" customWidth="1"/>
    <col min="44" max="45" width="8.25" style="8" bestFit="1" customWidth="1"/>
    <col min="46" max="46" width="11.625" style="7" bestFit="1" customWidth="1"/>
    <col min="47" max="48" width="13.375" style="7" bestFit="1" customWidth="1"/>
    <col min="49" max="49" width="11.625" style="7" bestFit="1" customWidth="1"/>
    <col min="50" max="50" width="7" style="7" bestFit="1" customWidth="1"/>
    <col min="51" max="51" width="16.625" style="7" bestFit="1" customWidth="1"/>
    <col min="52" max="52" width="9.875" style="8" bestFit="1" customWidth="1"/>
    <col min="53" max="53" width="6.625" style="8" bestFit="1" customWidth="1"/>
    <col min="54" max="54" width="9.875" style="8" bestFit="1" customWidth="1"/>
    <col min="55" max="16384" width="9" style="8"/>
  </cols>
  <sheetData>
    <row r="1" spans="1:54" s="5" customFormat="1" ht="47.25" customHeight="1" x14ac:dyDescent="0.3">
      <c r="A1" s="17" t="s">
        <v>58</v>
      </c>
      <c r="B1" s="17" t="s">
        <v>59</v>
      </c>
      <c r="C1" s="17" t="s">
        <v>60</v>
      </c>
      <c r="D1" s="18" t="s">
        <v>61</v>
      </c>
      <c r="E1" s="18" t="s">
        <v>62</v>
      </c>
      <c r="F1" s="19" t="s">
        <v>51</v>
      </c>
      <c r="G1" s="19" t="s">
        <v>53</v>
      </c>
      <c r="H1" s="19" t="s">
        <v>55</v>
      </c>
      <c r="I1" s="18" t="s">
        <v>63</v>
      </c>
      <c r="J1" s="17" t="s">
        <v>64</v>
      </c>
      <c r="K1" s="17" t="s">
        <v>65</v>
      </c>
      <c r="L1" s="17" t="s">
        <v>66</v>
      </c>
      <c r="M1" s="17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17" t="s">
        <v>24</v>
      </c>
      <c r="U1" s="17" t="s">
        <v>25</v>
      </c>
      <c r="V1" s="17" t="s">
        <v>26</v>
      </c>
      <c r="W1" s="17" t="s">
        <v>27</v>
      </c>
      <c r="X1" s="17" t="s">
        <v>28</v>
      </c>
      <c r="Y1" s="17" t="s">
        <v>29</v>
      </c>
      <c r="Z1" s="17" t="s">
        <v>30</v>
      </c>
      <c r="AA1" s="17" t="s">
        <v>31</v>
      </c>
      <c r="AB1" s="17" t="s">
        <v>32</v>
      </c>
      <c r="AC1" s="17" t="s">
        <v>33</v>
      </c>
      <c r="AD1" s="17" t="s">
        <v>34</v>
      </c>
      <c r="AE1" s="17" t="s">
        <v>35</v>
      </c>
      <c r="AF1" s="17" t="s">
        <v>36</v>
      </c>
      <c r="AG1" s="17" t="s">
        <v>37</v>
      </c>
      <c r="AH1" s="17" t="s">
        <v>38</v>
      </c>
      <c r="AI1" s="17" t="s">
        <v>39</v>
      </c>
      <c r="AJ1" s="17" t="s">
        <v>40</v>
      </c>
      <c r="AK1" s="17" t="s">
        <v>41</v>
      </c>
      <c r="AL1" s="17" t="s">
        <v>42</v>
      </c>
      <c r="AM1" s="17" t="s">
        <v>43</v>
      </c>
      <c r="AN1" s="17" t="s">
        <v>67</v>
      </c>
      <c r="AO1" s="17" t="s">
        <v>68</v>
      </c>
      <c r="AP1" s="18" t="s">
        <v>77</v>
      </c>
      <c r="AQ1" s="20" t="s">
        <v>119</v>
      </c>
      <c r="AR1" s="17" t="s">
        <v>69</v>
      </c>
      <c r="AS1" s="18" t="s">
        <v>70</v>
      </c>
      <c r="AT1" s="18" t="s">
        <v>71</v>
      </c>
      <c r="AU1" s="21" t="s">
        <v>75</v>
      </c>
      <c r="AV1" s="21" t="s">
        <v>76</v>
      </c>
      <c r="AW1" s="11" t="s">
        <v>115</v>
      </c>
      <c r="AX1" s="11" t="s">
        <v>120</v>
      </c>
      <c r="AY1" s="11" t="s">
        <v>121</v>
      </c>
      <c r="AZ1" s="12" t="s">
        <v>106</v>
      </c>
      <c r="BA1" s="12" t="s">
        <v>107</v>
      </c>
      <c r="BB1" s="12" t="s">
        <v>108</v>
      </c>
    </row>
    <row r="2" spans="1:54" x14ac:dyDescent="0.3">
      <c r="A2" s="25" t="s">
        <v>85</v>
      </c>
      <c r="B2" s="25" t="s">
        <v>90</v>
      </c>
      <c r="C2" s="25" t="s">
        <v>0</v>
      </c>
      <c r="D2" s="25" t="s">
        <v>73</v>
      </c>
      <c r="E2" s="25" t="s">
        <v>1</v>
      </c>
      <c r="F2" s="25" t="s">
        <v>2</v>
      </c>
      <c r="G2" s="25" t="s">
        <v>3</v>
      </c>
      <c r="H2" s="25" t="s">
        <v>3</v>
      </c>
      <c r="I2" s="25" t="s">
        <v>72</v>
      </c>
      <c r="J2" s="28">
        <v>1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>
        <v>1</v>
      </c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 t="s">
        <v>102</v>
      </c>
      <c r="AP2" s="28" t="s">
        <v>840</v>
      </c>
      <c r="AQ2" s="28" t="s">
        <v>102</v>
      </c>
      <c r="AR2" s="26">
        <v>1000000</v>
      </c>
      <c r="AS2" s="25">
        <v>1000000</v>
      </c>
      <c r="AT2" s="27" t="s">
        <v>4</v>
      </c>
      <c r="AU2" s="27" t="s">
        <v>81</v>
      </c>
      <c r="AV2" s="27" t="s">
        <v>82</v>
      </c>
      <c r="AW2" s="27"/>
      <c r="AX2" s="27"/>
      <c r="AY2" s="27"/>
      <c r="AZ2" s="25"/>
      <c r="BA2" s="25"/>
      <c r="BB2" s="25"/>
    </row>
    <row r="3" spans="1:54" x14ac:dyDescent="0.3">
      <c r="A3" s="25" t="s">
        <v>80</v>
      </c>
      <c r="B3" s="25" t="s">
        <v>91</v>
      </c>
      <c r="C3" s="25" t="s">
        <v>5</v>
      </c>
      <c r="D3" s="25" t="s">
        <v>73</v>
      </c>
      <c r="E3" s="25" t="s">
        <v>1</v>
      </c>
      <c r="F3" s="25" t="s">
        <v>2</v>
      </c>
      <c r="G3" s="25" t="s">
        <v>3</v>
      </c>
      <c r="H3" s="25">
        <v>1111</v>
      </c>
      <c r="I3" s="25" t="s">
        <v>72</v>
      </c>
      <c r="J3" s="28"/>
      <c r="K3" s="28"/>
      <c r="L3" s="28"/>
      <c r="M3" s="28"/>
      <c r="N3" s="28"/>
      <c r="O3" s="28"/>
      <c r="P3" s="28">
        <v>1</v>
      </c>
      <c r="Q3" s="28"/>
      <c r="R3" s="28"/>
      <c r="S3" s="28"/>
      <c r="T3" s="28"/>
      <c r="U3" s="28"/>
      <c r="V3" s="28"/>
      <c r="W3" s="28"/>
      <c r="X3" s="28"/>
      <c r="Y3" s="28"/>
      <c r="Z3" s="28">
        <v>1</v>
      </c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 t="s">
        <v>790</v>
      </c>
      <c r="AP3" s="28" t="s">
        <v>840</v>
      </c>
      <c r="AQ3" s="28" t="s">
        <v>790</v>
      </c>
      <c r="AR3" s="25">
        <v>1000000</v>
      </c>
      <c r="AS3" s="25">
        <v>1000000</v>
      </c>
      <c r="AT3" s="28" t="s">
        <v>4</v>
      </c>
      <c r="AU3" s="28"/>
      <c r="AV3" s="28"/>
      <c r="AW3" s="28" t="s">
        <v>116</v>
      </c>
      <c r="AX3" s="27" t="s">
        <v>850</v>
      </c>
      <c r="AY3" s="28" t="s">
        <v>123</v>
      </c>
      <c r="AZ3" s="25"/>
      <c r="BA3" s="25"/>
      <c r="BB3" s="25"/>
    </row>
    <row r="4" spans="1:54" x14ac:dyDescent="0.3">
      <c r="A4" s="25" t="s">
        <v>79</v>
      </c>
      <c r="B4" s="25" t="s">
        <v>92</v>
      </c>
      <c r="C4" s="25" t="s">
        <v>6</v>
      </c>
      <c r="D4" s="25" t="s">
        <v>73</v>
      </c>
      <c r="E4" s="25" t="s">
        <v>1</v>
      </c>
      <c r="F4" s="25" t="s">
        <v>2</v>
      </c>
      <c r="G4" s="25" t="s">
        <v>3</v>
      </c>
      <c r="H4" s="25">
        <v>1111</v>
      </c>
      <c r="I4" s="25" t="s">
        <v>72</v>
      </c>
      <c r="J4" s="28"/>
      <c r="K4" s="28"/>
      <c r="L4" s="28"/>
      <c r="M4" s="28">
        <v>1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>
        <v>1</v>
      </c>
      <c r="AB4" s="28"/>
      <c r="AC4" s="28"/>
      <c r="AD4" s="28"/>
      <c r="AE4" s="28">
        <v>1</v>
      </c>
      <c r="AF4" s="28"/>
      <c r="AG4" s="28"/>
      <c r="AH4" s="28"/>
      <c r="AI4" s="28"/>
      <c r="AJ4" s="28"/>
      <c r="AK4" s="28"/>
      <c r="AL4" s="28"/>
      <c r="AM4" s="28"/>
      <c r="AN4" s="28"/>
      <c r="AO4" s="28" t="s">
        <v>791</v>
      </c>
      <c r="AP4" s="28" t="s">
        <v>840</v>
      </c>
      <c r="AQ4" s="28" t="s">
        <v>791</v>
      </c>
      <c r="AR4" s="25">
        <v>1000000</v>
      </c>
      <c r="AS4" s="25">
        <v>1000000</v>
      </c>
      <c r="AT4" s="28" t="s">
        <v>4</v>
      </c>
      <c r="AU4" s="28"/>
      <c r="AV4" s="28"/>
      <c r="AW4" s="28"/>
      <c r="AX4" s="27"/>
      <c r="AY4" s="28"/>
      <c r="AZ4" s="25"/>
      <c r="BA4" s="25"/>
      <c r="BB4" s="25"/>
    </row>
    <row r="5" spans="1:54" x14ac:dyDescent="0.3">
      <c r="A5" s="25" t="s">
        <v>79</v>
      </c>
      <c r="B5" s="25" t="s">
        <v>93</v>
      </c>
      <c r="C5" s="25" t="s">
        <v>7</v>
      </c>
      <c r="D5" s="25" t="s">
        <v>73</v>
      </c>
      <c r="E5" s="25" t="s">
        <v>1</v>
      </c>
      <c r="F5" s="25" t="s">
        <v>2</v>
      </c>
      <c r="G5" s="25" t="s">
        <v>3</v>
      </c>
      <c r="H5" s="25">
        <v>1111</v>
      </c>
      <c r="I5" s="25" t="s">
        <v>72</v>
      </c>
      <c r="J5" s="28"/>
      <c r="K5" s="28"/>
      <c r="L5" s="28"/>
      <c r="M5" s="28"/>
      <c r="N5" s="28"/>
      <c r="O5" s="28">
        <v>1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>
        <v>1</v>
      </c>
      <c r="AK5" s="28"/>
      <c r="AL5" s="28"/>
      <c r="AM5" s="28"/>
      <c r="AN5" s="28"/>
      <c r="AO5" s="28" t="s">
        <v>102</v>
      </c>
      <c r="AP5" s="28" t="s">
        <v>840</v>
      </c>
      <c r="AQ5" s="28" t="s">
        <v>102</v>
      </c>
      <c r="AR5" s="25">
        <v>1000000</v>
      </c>
      <c r="AS5" s="25">
        <v>1000000</v>
      </c>
      <c r="AT5" s="28" t="s">
        <v>4</v>
      </c>
      <c r="AU5" s="28"/>
      <c r="AV5" s="28"/>
      <c r="AW5" s="28"/>
      <c r="AX5" s="27"/>
      <c r="AY5" s="28"/>
      <c r="AZ5" s="25"/>
      <c r="BA5" s="25"/>
      <c r="BB5" s="25"/>
    </row>
    <row r="6" spans="1:54" x14ac:dyDescent="0.3">
      <c r="A6" s="25" t="s">
        <v>79</v>
      </c>
      <c r="B6" s="25" t="s">
        <v>94</v>
      </c>
      <c r="C6" s="25" t="s">
        <v>8</v>
      </c>
      <c r="D6" s="25" t="s">
        <v>73</v>
      </c>
      <c r="E6" s="25" t="s">
        <v>1</v>
      </c>
      <c r="F6" s="25" t="s">
        <v>2</v>
      </c>
      <c r="G6" s="25" t="s">
        <v>3</v>
      </c>
      <c r="H6" s="25">
        <v>1111</v>
      </c>
      <c r="I6" s="25" t="s">
        <v>72</v>
      </c>
      <c r="J6" s="28"/>
      <c r="K6" s="28"/>
      <c r="L6" s="28" t="s">
        <v>4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>
        <v>1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 t="s">
        <v>790</v>
      </c>
      <c r="AP6" s="28" t="s">
        <v>840</v>
      </c>
      <c r="AQ6" s="28" t="s">
        <v>790</v>
      </c>
      <c r="AR6" s="25">
        <v>1000000</v>
      </c>
      <c r="AS6" s="25">
        <v>1000000</v>
      </c>
      <c r="AT6" s="28" t="s">
        <v>4</v>
      </c>
      <c r="AU6" s="28" t="s">
        <v>83</v>
      </c>
      <c r="AV6" s="28" t="s">
        <v>84</v>
      </c>
      <c r="AW6" s="28"/>
      <c r="AX6" s="27"/>
      <c r="AY6" s="28"/>
      <c r="AZ6" s="25"/>
      <c r="BA6" s="25"/>
      <c r="BB6" s="25"/>
    </row>
    <row r="7" spans="1:54" x14ac:dyDescent="0.3">
      <c r="A7" s="25" t="s">
        <v>79</v>
      </c>
      <c r="B7" s="25" t="s">
        <v>95</v>
      </c>
      <c r="C7" s="25" t="s">
        <v>9</v>
      </c>
      <c r="D7" s="25" t="s">
        <v>73</v>
      </c>
      <c r="E7" s="25" t="s">
        <v>1</v>
      </c>
      <c r="F7" s="25" t="s">
        <v>2</v>
      </c>
      <c r="G7" s="25" t="s">
        <v>3</v>
      </c>
      <c r="H7" s="25">
        <v>1111</v>
      </c>
      <c r="I7" s="25" t="s">
        <v>72</v>
      </c>
      <c r="J7" s="28"/>
      <c r="K7" s="28"/>
      <c r="L7" s="28"/>
      <c r="M7" s="28"/>
      <c r="N7" s="28"/>
      <c r="O7" s="28"/>
      <c r="P7" s="28">
        <v>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>
        <v>1</v>
      </c>
      <c r="AG7" s="28"/>
      <c r="AH7" s="28"/>
      <c r="AI7" s="28"/>
      <c r="AJ7" s="28"/>
      <c r="AK7" s="28"/>
      <c r="AL7" s="28"/>
      <c r="AM7" s="28"/>
      <c r="AN7" s="28"/>
      <c r="AO7" s="28" t="s">
        <v>790</v>
      </c>
      <c r="AP7" s="28" t="s">
        <v>840</v>
      </c>
      <c r="AQ7" s="28" t="s">
        <v>790</v>
      </c>
      <c r="AR7" s="25">
        <v>1000000</v>
      </c>
      <c r="AS7" s="25">
        <v>1000000</v>
      </c>
      <c r="AT7" s="28" t="s">
        <v>4</v>
      </c>
      <c r="AU7" s="28"/>
      <c r="AV7" s="28"/>
      <c r="AW7" s="28"/>
      <c r="AX7" s="27"/>
      <c r="AY7" s="28"/>
      <c r="AZ7" s="25"/>
      <c r="BA7" s="25"/>
      <c r="BB7" s="25"/>
    </row>
    <row r="8" spans="1:54" x14ac:dyDescent="0.3">
      <c r="A8" s="25" t="s">
        <v>79</v>
      </c>
      <c r="B8" s="25" t="s">
        <v>96</v>
      </c>
      <c r="C8" s="25" t="s">
        <v>10</v>
      </c>
      <c r="D8" s="25" t="s">
        <v>73</v>
      </c>
      <c r="E8" s="25" t="s">
        <v>1</v>
      </c>
      <c r="F8" s="25" t="s">
        <v>2</v>
      </c>
      <c r="G8" s="25" t="s">
        <v>3</v>
      </c>
      <c r="H8" s="25">
        <v>1111</v>
      </c>
      <c r="I8" s="25" t="s">
        <v>72</v>
      </c>
      <c r="J8" s="28"/>
      <c r="K8" s="28"/>
      <c r="L8" s="28"/>
      <c r="M8" s="28">
        <v>1</v>
      </c>
      <c r="N8" s="28"/>
      <c r="O8" s="28">
        <v>1</v>
      </c>
      <c r="P8" s="28"/>
      <c r="Q8" s="28"/>
      <c r="R8" s="28"/>
      <c r="S8" s="28"/>
      <c r="T8" s="28"/>
      <c r="U8" s="28"/>
      <c r="V8" s="28"/>
      <c r="W8" s="28"/>
      <c r="X8" s="28"/>
      <c r="Y8" s="28"/>
      <c r="Z8" s="28">
        <v>1</v>
      </c>
      <c r="AA8" s="28"/>
      <c r="AB8" s="28"/>
      <c r="AC8" s="28"/>
      <c r="AD8" s="28"/>
      <c r="AE8" s="28"/>
      <c r="AF8" s="28"/>
      <c r="AG8" s="28"/>
      <c r="AH8" s="28"/>
      <c r="AI8" s="28"/>
      <c r="AJ8" s="28">
        <v>1</v>
      </c>
      <c r="AK8" s="28"/>
      <c r="AL8" s="28"/>
      <c r="AM8" s="28"/>
      <c r="AN8" s="28"/>
      <c r="AO8" s="28">
        <v>4</v>
      </c>
      <c r="AP8" s="28" t="s">
        <v>840</v>
      </c>
      <c r="AQ8" s="28">
        <v>4</v>
      </c>
      <c r="AR8" s="25">
        <v>1000000</v>
      </c>
      <c r="AS8" s="25">
        <v>1000000</v>
      </c>
      <c r="AT8" s="28" t="s">
        <v>4</v>
      </c>
      <c r="AU8" s="28"/>
      <c r="AV8" s="28"/>
      <c r="AW8" s="28" t="s">
        <v>116</v>
      </c>
      <c r="AX8" s="27" t="s">
        <v>850</v>
      </c>
      <c r="AY8" s="28">
        <v>1000000</v>
      </c>
      <c r="AZ8" s="25"/>
      <c r="BA8" s="25"/>
      <c r="BB8" s="25"/>
    </row>
    <row r="9" spans="1:54" x14ac:dyDescent="0.3">
      <c r="A9" s="25" t="s">
        <v>79</v>
      </c>
      <c r="B9" s="25" t="s">
        <v>97</v>
      </c>
      <c r="C9" s="25" t="s">
        <v>11</v>
      </c>
      <c r="D9" s="25" t="s">
        <v>73</v>
      </c>
      <c r="E9" s="25" t="s">
        <v>1</v>
      </c>
      <c r="F9" s="25" t="s">
        <v>2</v>
      </c>
      <c r="G9" s="25" t="s">
        <v>3</v>
      </c>
      <c r="H9" s="25">
        <v>1111</v>
      </c>
      <c r="I9" s="25" t="s">
        <v>72</v>
      </c>
      <c r="J9" s="28"/>
      <c r="K9" s="28"/>
      <c r="L9" s="28"/>
      <c r="M9" s="28">
        <v>1</v>
      </c>
      <c r="N9" s="28"/>
      <c r="O9" s="28"/>
      <c r="P9" s="28">
        <v>1</v>
      </c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 t="s">
        <v>790</v>
      </c>
      <c r="AP9" s="28" t="s">
        <v>840</v>
      </c>
      <c r="AQ9" s="28" t="s">
        <v>790</v>
      </c>
      <c r="AR9" s="25">
        <v>1000000</v>
      </c>
      <c r="AS9" s="25">
        <v>1000000</v>
      </c>
      <c r="AT9" s="28" t="s">
        <v>4</v>
      </c>
      <c r="AU9" s="28"/>
      <c r="AV9" s="28"/>
      <c r="AW9" s="28"/>
      <c r="AX9" s="27"/>
      <c r="AY9" s="28"/>
      <c r="AZ9" s="25"/>
      <c r="BA9" s="25"/>
      <c r="BB9" s="25"/>
    </row>
    <row r="10" spans="1:54" x14ac:dyDescent="0.3">
      <c r="A10" s="25" t="s">
        <v>79</v>
      </c>
      <c r="B10" s="25" t="s">
        <v>98</v>
      </c>
      <c r="C10" s="25" t="s">
        <v>12</v>
      </c>
      <c r="D10" s="25" t="s">
        <v>73</v>
      </c>
      <c r="E10" s="25" t="s">
        <v>1</v>
      </c>
      <c r="F10" s="25" t="s">
        <v>2</v>
      </c>
      <c r="G10" s="25" t="s">
        <v>3</v>
      </c>
      <c r="H10" s="25">
        <v>1111</v>
      </c>
      <c r="I10" s="25" t="s">
        <v>72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>
        <v>1</v>
      </c>
      <c r="AB10" s="28"/>
      <c r="AC10" s="28">
        <v>1</v>
      </c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 t="s">
        <v>790</v>
      </c>
      <c r="AP10" s="28" t="s">
        <v>840</v>
      </c>
      <c r="AQ10" s="28" t="s">
        <v>790</v>
      </c>
      <c r="AR10" s="25">
        <v>1000000</v>
      </c>
      <c r="AS10" s="25">
        <v>1000000</v>
      </c>
      <c r="AT10" s="28" t="s">
        <v>4</v>
      </c>
      <c r="AU10" s="28"/>
      <c r="AV10" s="28"/>
      <c r="AW10" s="28"/>
      <c r="AX10" s="27"/>
      <c r="AY10" s="28"/>
      <c r="AZ10" s="25"/>
      <c r="BA10" s="25"/>
      <c r="BB10" s="25"/>
    </row>
    <row r="11" spans="1:54" x14ac:dyDescent="0.3">
      <c r="A11" s="25" t="s">
        <v>86</v>
      </c>
      <c r="B11" s="25" t="s">
        <v>99</v>
      </c>
      <c r="C11" s="25" t="s">
        <v>13</v>
      </c>
      <c r="D11" s="25" t="s">
        <v>73</v>
      </c>
      <c r="E11" s="25" t="s">
        <v>1</v>
      </c>
      <c r="F11" s="25" t="s">
        <v>2</v>
      </c>
      <c r="G11" s="25" t="s">
        <v>3</v>
      </c>
      <c r="H11" s="25">
        <v>1111</v>
      </c>
      <c r="I11" s="25" t="s">
        <v>72</v>
      </c>
      <c r="J11" s="28"/>
      <c r="K11" s="28"/>
      <c r="L11" s="28" t="s">
        <v>4</v>
      </c>
      <c r="M11" s="28"/>
      <c r="N11" s="28"/>
      <c r="O11" s="28"/>
      <c r="P11" s="28">
        <v>1</v>
      </c>
      <c r="Q11" s="28"/>
      <c r="R11" s="28"/>
      <c r="S11" s="28"/>
      <c r="T11" s="28">
        <v>1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>
        <v>1</v>
      </c>
      <c r="AI11" s="28"/>
      <c r="AJ11" s="28"/>
      <c r="AK11" s="28"/>
      <c r="AL11" s="28"/>
      <c r="AM11" s="28"/>
      <c r="AN11" s="28"/>
      <c r="AO11" s="28" t="s">
        <v>792</v>
      </c>
      <c r="AP11" s="28" t="s">
        <v>840</v>
      </c>
      <c r="AQ11" s="28" t="s">
        <v>124</v>
      </c>
      <c r="AR11" s="25">
        <v>1000000</v>
      </c>
      <c r="AS11" s="25">
        <v>1000000</v>
      </c>
      <c r="AT11" s="28" t="s">
        <v>4</v>
      </c>
      <c r="AU11" s="28" t="s">
        <v>87</v>
      </c>
      <c r="AV11" s="28" t="s">
        <v>88</v>
      </c>
      <c r="AW11" s="28"/>
      <c r="AX11" s="27"/>
      <c r="AY11" s="28"/>
      <c r="AZ11" s="25"/>
      <c r="BA11" s="25"/>
      <c r="BB11" s="25"/>
    </row>
  </sheetData>
  <phoneticPr fontId="1" type="noConversion"/>
  <dataValidations count="14">
    <dataValidation allowBlank="1" showInputMessage="1" showErrorMessage="1" prompt="*상실(이직)사유코드 시트 참조 (코드 변경 검토)_x000a_1. 회사의 사정에 의한 이직 (폐업, 공사중단, 공사종료, 계약기간 만료 등)_x000a_2. 부득이한 개인 사정에 의한 이직 (질병ㆍ부상, 출산 등)_x000a_3. 기타 개인사정에 의한 이직 (전직, 자영업을 위한 이직 등)" sqref="AT1"/>
    <dataValidation allowBlank="1" showInputMessage="1" showErrorMessage="1" prompt="-&quot;근로기준법&quot; 제2조에 따른 임금으로서, 해당 월에 발생된 금액 기재" sqref="AS1"/>
    <dataValidation allowBlank="1" showInputMessage="1" showErrorMessage="1" prompt="-&quot;소득세법&quot; 제20조에 따른 근로소득에서 같은 법 제12조제3호에 따른 비과세 근로소득을 뺀 금액으로서, _x000a_  해당 월에 발생된 금액" sqref="AR1"/>
    <dataValidation allowBlank="1" showInputMessage="1" showErrorMessage="1" prompt="-한달간 근로한 일 수" sqref="AO1"/>
    <dataValidation allowBlank="1" showInputMessage="1" showErrorMessage="1" prompt="-근로한 날짜에 &quot;1&quot; 기재" sqref="J1:AN1"/>
    <dataValidation allowBlank="1" showInputMessage="1" showErrorMessage="1" prompt="*한국고용직업분류 중 소분류(119개) 직종현황 참고하여 기재" sqref="I1"/>
    <dataValidation allowBlank="1" showInputMessage="1" showErrorMessage="1" prompt="*체류자격코드 시트 참조" sqref="E1"/>
    <dataValidation allowBlank="1" showInputMessage="1" showErrorMessage="1" prompt="-근로자의 국적코드 (국적코드시트 참조)" sqref="D1"/>
    <dataValidation allowBlank="1" showInputMessage="1" showErrorMessage="1" prompt="-1234561234567 형식" sqref="C1"/>
    <dataValidation allowBlank="1" showInputMessage="1" showErrorMessage="1" prompt="-지역번호 (휴대폰의 경우 01x)" sqref="F1"/>
    <dataValidation allowBlank="1" showInputMessage="1" showErrorMessage="1" prompt="-국번" sqref="G1"/>
    <dataValidation allowBlank="1" showInputMessage="1" showErrorMessage="1" prompt="-전화번호 뒷자리" sqref="H1"/>
    <dataValidation allowBlank="1" showInputMessage="1" showErrorMessage="1" prompt="*보험료부과구분부호 (해당자만 기재)_x000a_ 보험료부과구분 코드 시트 참조_x000a_" sqref="AU1:AV1"/>
    <dataValidation allowBlank="1" showInputMessage="1" showErrorMessage="1" prompt="- 일평균근무시간" sqref="AQ1"/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4"/>
  <sheetViews>
    <sheetView workbookViewId="0">
      <selection activeCell="B15" sqref="B15"/>
    </sheetView>
  </sheetViews>
  <sheetFormatPr defaultRowHeight="13.5" x14ac:dyDescent="0.25"/>
  <cols>
    <col min="1" max="1" width="29.625" style="31" customWidth="1"/>
    <col min="2" max="2" width="75.625" style="31" customWidth="1"/>
    <col min="3" max="16384" width="9" style="30"/>
  </cols>
  <sheetData>
    <row r="1" spans="1:8" ht="30" customHeight="1" x14ac:dyDescent="0.3">
      <c r="A1" s="70" t="s">
        <v>103</v>
      </c>
      <c r="B1" s="70"/>
      <c r="C1" s="29"/>
      <c r="D1" s="29"/>
      <c r="E1" s="29"/>
      <c r="F1" s="29"/>
      <c r="G1" s="29"/>
      <c r="H1" s="29"/>
    </row>
    <row r="2" spans="1:8" ht="20.100000000000001" customHeight="1" x14ac:dyDescent="0.2">
      <c r="A2" s="48" t="s">
        <v>100</v>
      </c>
      <c r="B2" s="60" t="s">
        <v>831</v>
      </c>
      <c r="C2" s="58"/>
      <c r="D2" s="58"/>
      <c r="E2" s="58"/>
    </row>
    <row r="3" spans="1:8" ht="20.100000000000001" customHeight="1" x14ac:dyDescent="0.2">
      <c r="A3" s="48" t="s">
        <v>101</v>
      </c>
      <c r="B3" s="60" t="s">
        <v>832</v>
      </c>
      <c r="C3" s="59"/>
      <c r="D3" s="59"/>
      <c r="E3" s="59"/>
    </row>
    <row r="4" spans="1:8" ht="20.100000000000001" customHeight="1" x14ac:dyDescent="0.2">
      <c r="A4" s="48" t="s">
        <v>104</v>
      </c>
      <c r="B4" s="61" t="s">
        <v>830</v>
      </c>
      <c r="C4" s="57"/>
      <c r="D4" s="57"/>
      <c r="E4" s="57"/>
    </row>
  </sheetData>
  <mergeCells count="1">
    <mergeCell ref="A1:B1"/>
  </mergeCells>
  <phoneticPr fontId="1" type="noConversion"/>
  <pageMargins left="0.25" right="0.25" top="0.75" bottom="0.75" header="0.3" footer="0.3"/>
  <pageSetup paperSize="9" orientation="landscape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7"/>
  <sheetViews>
    <sheetView topLeftCell="A138" workbookViewId="0">
      <selection activeCell="H149" sqref="H149"/>
    </sheetView>
  </sheetViews>
  <sheetFormatPr defaultRowHeight="16.5" x14ac:dyDescent="0.3"/>
  <cols>
    <col min="1" max="1" width="17.75" style="9" customWidth="1"/>
    <col min="2" max="2" width="20" style="9" bestFit="1" customWidth="1"/>
    <col min="3" max="3" width="61.875" style="9" bestFit="1" customWidth="1"/>
  </cols>
  <sheetData>
    <row r="1" spans="1:3" x14ac:dyDescent="0.3">
      <c r="A1" s="71" t="s">
        <v>807</v>
      </c>
      <c r="B1" s="71"/>
      <c r="C1" s="71"/>
    </row>
    <row r="2" spans="1:3" x14ac:dyDescent="0.3">
      <c r="A2" s="72"/>
      <c r="B2" s="72"/>
      <c r="C2" s="72"/>
    </row>
    <row r="3" spans="1:3" x14ac:dyDescent="0.3">
      <c r="A3" s="49" t="s">
        <v>125</v>
      </c>
      <c r="B3" s="49" t="s">
        <v>126</v>
      </c>
      <c r="C3" s="49" t="s">
        <v>127</v>
      </c>
    </row>
    <row r="4" spans="1:3" x14ac:dyDescent="0.3">
      <c r="A4" s="39" t="s">
        <v>128</v>
      </c>
      <c r="B4" s="32" t="s">
        <v>129</v>
      </c>
      <c r="C4" s="33" t="s">
        <v>130</v>
      </c>
    </row>
    <row r="5" spans="1:3" x14ac:dyDescent="0.3">
      <c r="A5" s="39" t="s">
        <v>131</v>
      </c>
      <c r="B5" s="32" t="s">
        <v>132</v>
      </c>
      <c r="C5" s="33" t="s">
        <v>133</v>
      </c>
    </row>
    <row r="6" spans="1:3" x14ac:dyDescent="0.3">
      <c r="A6" s="39" t="s">
        <v>134</v>
      </c>
      <c r="B6" s="32" t="s">
        <v>135</v>
      </c>
      <c r="C6" s="33" t="s">
        <v>136</v>
      </c>
    </row>
    <row r="7" spans="1:3" x14ac:dyDescent="0.3">
      <c r="A7" s="39" t="s">
        <v>137</v>
      </c>
      <c r="B7" s="32" t="s">
        <v>138</v>
      </c>
      <c r="C7" s="33" t="s">
        <v>139</v>
      </c>
    </row>
    <row r="8" spans="1:3" x14ac:dyDescent="0.3">
      <c r="A8" s="39" t="s">
        <v>140</v>
      </c>
      <c r="B8" s="32" t="s">
        <v>141</v>
      </c>
      <c r="C8" s="33" t="s">
        <v>142</v>
      </c>
    </row>
    <row r="9" spans="1:3" x14ac:dyDescent="0.3">
      <c r="A9" s="39" t="s">
        <v>143</v>
      </c>
      <c r="B9" s="32" t="s">
        <v>144</v>
      </c>
      <c r="C9" s="33" t="s">
        <v>145</v>
      </c>
    </row>
    <row r="10" spans="1:3" x14ac:dyDescent="0.3">
      <c r="A10" s="39" t="s">
        <v>146</v>
      </c>
      <c r="B10" s="32" t="s">
        <v>147</v>
      </c>
      <c r="C10" s="33" t="s">
        <v>148</v>
      </c>
    </row>
    <row r="11" spans="1:3" x14ac:dyDescent="0.3">
      <c r="A11" s="39" t="s">
        <v>149</v>
      </c>
      <c r="B11" s="32" t="s">
        <v>150</v>
      </c>
      <c r="C11" s="33" t="s">
        <v>151</v>
      </c>
    </row>
    <row r="12" spans="1:3" x14ac:dyDescent="0.3">
      <c r="A12" s="39" t="s">
        <v>152</v>
      </c>
      <c r="B12" s="32" t="s">
        <v>153</v>
      </c>
      <c r="C12" s="33" t="s">
        <v>154</v>
      </c>
    </row>
    <row r="13" spans="1:3" x14ac:dyDescent="0.3">
      <c r="A13" s="39" t="s">
        <v>155</v>
      </c>
      <c r="B13" s="32" t="s">
        <v>156</v>
      </c>
      <c r="C13" s="33" t="s">
        <v>157</v>
      </c>
    </row>
    <row r="14" spans="1:3" x14ac:dyDescent="0.3">
      <c r="A14" s="39" t="s">
        <v>158</v>
      </c>
      <c r="B14" s="32" t="s">
        <v>159</v>
      </c>
      <c r="C14" s="33" t="s">
        <v>160</v>
      </c>
    </row>
    <row r="15" spans="1:3" x14ac:dyDescent="0.3">
      <c r="A15" s="39" t="s">
        <v>161</v>
      </c>
      <c r="B15" s="32" t="s">
        <v>162</v>
      </c>
      <c r="C15" s="33" t="s">
        <v>163</v>
      </c>
    </row>
    <row r="16" spans="1:3" x14ac:dyDescent="0.3">
      <c r="A16" s="39" t="s">
        <v>164</v>
      </c>
      <c r="B16" s="32" t="s">
        <v>165</v>
      </c>
      <c r="C16" s="33" t="s">
        <v>166</v>
      </c>
    </row>
    <row r="17" spans="1:3" x14ac:dyDescent="0.3">
      <c r="A17" s="39" t="s">
        <v>167</v>
      </c>
      <c r="B17" s="32" t="s">
        <v>168</v>
      </c>
      <c r="C17" s="33" t="s">
        <v>169</v>
      </c>
    </row>
    <row r="18" spans="1:3" x14ac:dyDescent="0.3">
      <c r="A18" s="39" t="s">
        <v>170</v>
      </c>
      <c r="B18" s="32" t="s">
        <v>171</v>
      </c>
      <c r="C18" s="33" t="s">
        <v>172</v>
      </c>
    </row>
    <row r="19" spans="1:3" x14ac:dyDescent="0.3">
      <c r="A19" s="39" t="s">
        <v>173</v>
      </c>
      <c r="B19" s="32" t="s">
        <v>174</v>
      </c>
      <c r="C19" s="33" t="s">
        <v>175</v>
      </c>
    </row>
    <row r="20" spans="1:3" x14ac:dyDescent="0.3">
      <c r="A20" s="39" t="s">
        <v>176</v>
      </c>
      <c r="B20" s="32" t="s">
        <v>177</v>
      </c>
      <c r="C20" s="33" t="s">
        <v>178</v>
      </c>
    </row>
    <row r="21" spans="1:3" x14ac:dyDescent="0.3">
      <c r="A21" s="39" t="s">
        <v>179</v>
      </c>
      <c r="B21" s="32" t="s">
        <v>180</v>
      </c>
      <c r="C21" s="33" t="s">
        <v>181</v>
      </c>
    </row>
    <row r="22" spans="1:3" x14ac:dyDescent="0.3">
      <c r="A22" s="39" t="s">
        <v>182</v>
      </c>
      <c r="B22" s="32" t="s">
        <v>183</v>
      </c>
      <c r="C22" s="33" t="s">
        <v>184</v>
      </c>
    </row>
    <row r="23" spans="1:3" x14ac:dyDescent="0.3">
      <c r="A23" s="39" t="s">
        <v>185</v>
      </c>
      <c r="B23" s="32" t="s">
        <v>159</v>
      </c>
      <c r="C23" s="33" t="s">
        <v>163</v>
      </c>
    </row>
    <row r="24" spans="1:3" x14ac:dyDescent="0.3">
      <c r="A24" s="39" t="s">
        <v>186</v>
      </c>
      <c r="B24" s="32" t="s">
        <v>187</v>
      </c>
      <c r="C24" s="33" t="s">
        <v>188</v>
      </c>
    </row>
    <row r="25" spans="1:3" x14ac:dyDescent="0.3">
      <c r="A25" s="39" t="s">
        <v>189</v>
      </c>
      <c r="B25" s="32" t="s">
        <v>190</v>
      </c>
      <c r="C25" s="33" t="s">
        <v>191</v>
      </c>
    </row>
    <row r="26" spans="1:3" x14ac:dyDescent="0.3">
      <c r="A26" s="39" t="s">
        <v>192</v>
      </c>
      <c r="B26" s="32" t="s">
        <v>193</v>
      </c>
      <c r="C26" s="33" t="s">
        <v>194</v>
      </c>
    </row>
    <row r="27" spans="1:3" x14ac:dyDescent="0.3">
      <c r="A27" s="39" t="s">
        <v>195</v>
      </c>
      <c r="B27" s="32" t="s">
        <v>177</v>
      </c>
      <c r="C27" s="33" t="s">
        <v>178</v>
      </c>
    </row>
    <row r="28" spans="1:3" x14ac:dyDescent="0.3">
      <c r="A28" s="39" t="s">
        <v>196</v>
      </c>
      <c r="B28" s="32" t="s">
        <v>197</v>
      </c>
      <c r="C28" s="33" t="s">
        <v>198</v>
      </c>
    </row>
    <row r="29" spans="1:3" x14ac:dyDescent="0.3">
      <c r="A29" s="39" t="s">
        <v>199</v>
      </c>
      <c r="B29" s="32" t="s">
        <v>200</v>
      </c>
      <c r="C29" s="33" t="s">
        <v>201</v>
      </c>
    </row>
    <row r="30" spans="1:3" x14ac:dyDescent="0.3">
      <c r="A30" s="39" t="s">
        <v>202</v>
      </c>
      <c r="B30" s="32" t="s">
        <v>203</v>
      </c>
      <c r="C30" s="33" t="s">
        <v>204</v>
      </c>
    </row>
    <row r="31" spans="1:3" x14ac:dyDescent="0.3">
      <c r="A31" s="39" t="s">
        <v>205</v>
      </c>
      <c r="B31" s="32" t="s">
        <v>206</v>
      </c>
      <c r="C31" s="33" t="s">
        <v>207</v>
      </c>
    </row>
    <row r="32" spans="1:3" x14ac:dyDescent="0.3">
      <c r="A32" s="39" t="s">
        <v>208</v>
      </c>
      <c r="B32" s="32" t="s">
        <v>209</v>
      </c>
      <c r="C32" s="33" t="s">
        <v>210</v>
      </c>
    </row>
    <row r="33" spans="1:3" x14ac:dyDescent="0.3">
      <c r="A33" s="39" t="s">
        <v>211</v>
      </c>
      <c r="B33" s="32" t="s">
        <v>212</v>
      </c>
      <c r="C33" s="33" t="s">
        <v>213</v>
      </c>
    </row>
    <row r="34" spans="1:3" x14ac:dyDescent="0.3">
      <c r="A34" s="39" t="s">
        <v>214</v>
      </c>
      <c r="B34" s="32" t="s">
        <v>215</v>
      </c>
      <c r="C34" s="33" t="s">
        <v>216</v>
      </c>
    </row>
    <row r="35" spans="1:3" x14ac:dyDescent="0.3">
      <c r="A35" s="39" t="s">
        <v>217</v>
      </c>
      <c r="B35" s="32" t="s">
        <v>218</v>
      </c>
      <c r="C35" s="33" t="s">
        <v>219</v>
      </c>
    </row>
    <row r="36" spans="1:3" x14ac:dyDescent="0.3">
      <c r="A36" s="39" t="s">
        <v>220</v>
      </c>
      <c r="B36" s="32" t="s">
        <v>221</v>
      </c>
      <c r="C36" s="33" t="s">
        <v>222</v>
      </c>
    </row>
    <row r="37" spans="1:3" x14ac:dyDescent="0.3">
      <c r="A37" s="39" t="s">
        <v>223</v>
      </c>
      <c r="B37" s="32" t="s">
        <v>224</v>
      </c>
      <c r="C37" s="33" t="s">
        <v>225</v>
      </c>
    </row>
    <row r="38" spans="1:3" x14ac:dyDescent="0.3">
      <c r="A38" s="39" t="s">
        <v>226</v>
      </c>
      <c r="B38" s="32" t="s">
        <v>227</v>
      </c>
      <c r="C38" s="33" t="s">
        <v>228</v>
      </c>
    </row>
    <row r="39" spans="1:3" x14ac:dyDescent="0.3">
      <c r="A39" s="39" t="s">
        <v>229</v>
      </c>
      <c r="B39" s="32" t="s">
        <v>230</v>
      </c>
      <c r="C39" s="33" t="s">
        <v>231</v>
      </c>
    </row>
    <row r="40" spans="1:3" x14ac:dyDescent="0.3">
      <c r="A40" s="39" t="s">
        <v>232</v>
      </c>
      <c r="B40" s="32" t="s">
        <v>230</v>
      </c>
      <c r="C40" s="33" t="s">
        <v>233</v>
      </c>
    </row>
    <row r="41" spans="1:3" x14ac:dyDescent="0.3">
      <c r="A41" s="39" t="s">
        <v>234</v>
      </c>
      <c r="B41" s="32" t="s">
        <v>235</v>
      </c>
      <c r="C41" s="33" t="s">
        <v>236</v>
      </c>
    </row>
    <row r="42" spans="1:3" x14ac:dyDescent="0.3">
      <c r="A42" s="39" t="s">
        <v>237</v>
      </c>
      <c r="B42" s="32" t="s">
        <v>238</v>
      </c>
      <c r="C42" s="33" t="s">
        <v>239</v>
      </c>
    </row>
    <row r="43" spans="1:3" x14ac:dyDescent="0.3">
      <c r="A43" s="39" t="s">
        <v>240</v>
      </c>
      <c r="B43" s="32" t="s">
        <v>241</v>
      </c>
      <c r="C43" s="33" t="s">
        <v>242</v>
      </c>
    </row>
    <row r="44" spans="1:3" x14ac:dyDescent="0.3">
      <c r="A44" s="39" t="s">
        <v>243</v>
      </c>
      <c r="B44" s="32" t="s">
        <v>244</v>
      </c>
      <c r="C44" s="33" t="s">
        <v>245</v>
      </c>
    </row>
    <row r="45" spans="1:3" x14ac:dyDescent="0.3">
      <c r="A45" s="39" t="s">
        <v>246</v>
      </c>
      <c r="B45" s="32" t="s">
        <v>247</v>
      </c>
      <c r="C45" s="33" t="s">
        <v>248</v>
      </c>
    </row>
    <row r="46" spans="1:3" x14ac:dyDescent="0.3">
      <c r="A46" s="39" t="s">
        <v>249</v>
      </c>
      <c r="B46" s="32" t="s">
        <v>250</v>
      </c>
      <c r="C46" s="33" t="s">
        <v>251</v>
      </c>
    </row>
    <row r="47" spans="1:3" x14ac:dyDescent="0.3">
      <c r="A47" s="39" t="s">
        <v>252</v>
      </c>
      <c r="B47" s="32" t="s">
        <v>253</v>
      </c>
      <c r="C47" s="33" t="s">
        <v>254</v>
      </c>
    </row>
    <row r="48" spans="1:3" x14ac:dyDescent="0.3">
      <c r="A48" s="39" t="s">
        <v>255</v>
      </c>
      <c r="B48" s="32" t="s">
        <v>256</v>
      </c>
      <c r="C48" s="33" t="s">
        <v>257</v>
      </c>
    </row>
    <row r="49" spans="1:3" x14ac:dyDescent="0.3">
      <c r="A49" s="39" t="s">
        <v>258</v>
      </c>
      <c r="B49" s="32" t="s">
        <v>259</v>
      </c>
      <c r="C49" s="33" t="s">
        <v>260</v>
      </c>
    </row>
    <row r="50" spans="1:3" x14ac:dyDescent="0.3">
      <c r="A50" s="39" t="s">
        <v>261</v>
      </c>
      <c r="B50" s="32" t="s">
        <v>262</v>
      </c>
      <c r="C50" s="33" t="s">
        <v>263</v>
      </c>
    </row>
    <row r="51" spans="1:3" x14ac:dyDescent="0.3">
      <c r="A51" s="39" t="s">
        <v>264</v>
      </c>
      <c r="B51" s="32" t="s">
        <v>265</v>
      </c>
      <c r="C51" s="33" t="s">
        <v>266</v>
      </c>
    </row>
    <row r="52" spans="1:3" x14ac:dyDescent="0.3">
      <c r="A52" s="39" t="s">
        <v>267</v>
      </c>
      <c r="B52" s="32" t="s">
        <v>268</v>
      </c>
      <c r="C52" s="33" t="s">
        <v>269</v>
      </c>
    </row>
    <row r="53" spans="1:3" x14ac:dyDescent="0.3">
      <c r="A53" s="39" t="s">
        <v>270</v>
      </c>
      <c r="B53" s="32" t="s">
        <v>271</v>
      </c>
      <c r="C53" s="33" t="s">
        <v>272</v>
      </c>
    </row>
    <row r="54" spans="1:3" x14ac:dyDescent="0.3">
      <c r="A54" s="39" t="s">
        <v>273</v>
      </c>
      <c r="B54" s="32" t="s">
        <v>274</v>
      </c>
      <c r="C54" s="33" t="s">
        <v>275</v>
      </c>
    </row>
    <row r="55" spans="1:3" x14ac:dyDescent="0.3">
      <c r="A55" s="39" t="s">
        <v>276</v>
      </c>
      <c r="B55" s="32" t="s">
        <v>277</v>
      </c>
      <c r="C55" s="33" t="s">
        <v>278</v>
      </c>
    </row>
    <row r="56" spans="1:3" x14ac:dyDescent="0.3">
      <c r="A56" s="39" t="s">
        <v>279</v>
      </c>
      <c r="B56" s="32" t="s">
        <v>280</v>
      </c>
      <c r="C56" s="33" t="s">
        <v>281</v>
      </c>
    </row>
    <row r="57" spans="1:3" x14ac:dyDescent="0.3">
      <c r="A57" s="39" t="s">
        <v>282</v>
      </c>
      <c r="B57" s="32" t="s">
        <v>283</v>
      </c>
      <c r="C57" s="33" t="s">
        <v>284</v>
      </c>
    </row>
    <row r="58" spans="1:3" x14ac:dyDescent="0.3">
      <c r="A58" s="39" t="s">
        <v>285</v>
      </c>
      <c r="B58" s="32" t="s">
        <v>286</v>
      </c>
      <c r="C58" s="33" t="s">
        <v>287</v>
      </c>
    </row>
    <row r="59" spans="1:3" x14ac:dyDescent="0.3">
      <c r="A59" s="39" t="s">
        <v>288</v>
      </c>
      <c r="B59" s="32" t="s">
        <v>289</v>
      </c>
      <c r="C59" s="33" t="s">
        <v>290</v>
      </c>
    </row>
    <row r="60" spans="1:3" x14ac:dyDescent="0.3">
      <c r="A60" s="39" t="s">
        <v>291</v>
      </c>
      <c r="B60" s="32" t="s">
        <v>292</v>
      </c>
      <c r="C60" s="33" t="s">
        <v>293</v>
      </c>
    </row>
    <row r="61" spans="1:3" x14ac:dyDescent="0.3">
      <c r="A61" s="39" t="s">
        <v>294</v>
      </c>
      <c r="B61" s="32" t="s">
        <v>295</v>
      </c>
      <c r="C61" s="33" t="s">
        <v>296</v>
      </c>
    </row>
    <row r="62" spans="1:3" x14ac:dyDescent="0.3">
      <c r="A62" s="39" t="s">
        <v>297</v>
      </c>
      <c r="B62" s="32" t="s">
        <v>298</v>
      </c>
      <c r="C62" s="33" t="s">
        <v>299</v>
      </c>
    </row>
    <row r="63" spans="1:3" x14ac:dyDescent="0.3">
      <c r="A63" s="39" t="s">
        <v>300</v>
      </c>
      <c r="B63" s="32" t="s">
        <v>301</v>
      </c>
      <c r="C63" s="33" t="s">
        <v>302</v>
      </c>
    </row>
    <row r="64" spans="1:3" x14ac:dyDescent="0.3">
      <c r="A64" s="39" t="s">
        <v>303</v>
      </c>
      <c r="B64" s="32" t="s">
        <v>304</v>
      </c>
      <c r="C64" s="33" t="s">
        <v>305</v>
      </c>
    </row>
    <row r="65" spans="1:3" x14ac:dyDescent="0.3">
      <c r="A65" s="39" t="s">
        <v>306</v>
      </c>
      <c r="B65" s="32" t="s">
        <v>307</v>
      </c>
      <c r="C65" s="33" t="s">
        <v>308</v>
      </c>
    </row>
    <row r="66" spans="1:3" x14ac:dyDescent="0.3">
      <c r="A66" s="39" t="s">
        <v>309</v>
      </c>
      <c r="B66" s="32" t="s">
        <v>310</v>
      </c>
      <c r="C66" s="33" t="s">
        <v>311</v>
      </c>
    </row>
    <row r="67" spans="1:3" x14ac:dyDescent="0.3">
      <c r="A67" s="39" t="s">
        <v>312</v>
      </c>
      <c r="B67" s="32" t="s">
        <v>313</v>
      </c>
      <c r="C67" s="33" t="s">
        <v>314</v>
      </c>
    </row>
    <row r="68" spans="1:3" x14ac:dyDescent="0.3">
      <c r="A68" s="39" t="s">
        <v>315</v>
      </c>
      <c r="B68" s="32" t="s">
        <v>316</v>
      </c>
      <c r="C68" s="33" t="s">
        <v>317</v>
      </c>
    </row>
    <row r="69" spans="1:3" x14ac:dyDescent="0.3">
      <c r="A69" s="39" t="s">
        <v>318</v>
      </c>
      <c r="B69" s="32" t="s">
        <v>319</v>
      </c>
      <c r="C69" s="33" t="s">
        <v>320</v>
      </c>
    </row>
    <row r="70" spans="1:3" x14ac:dyDescent="0.3">
      <c r="A70" s="39" t="s">
        <v>321</v>
      </c>
      <c r="B70" s="32" t="s">
        <v>322</v>
      </c>
      <c r="C70" s="33" t="s">
        <v>323</v>
      </c>
    </row>
    <row r="71" spans="1:3" x14ac:dyDescent="0.3">
      <c r="A71" s="39" t="s">
        <v>324</v>
      </c>
      <c r="B71" s="32" t="s">
        <v>304</v>
      </c>
      <c r="C71" s="33" t="s">
        <v>305</v>
      </c>
    </row>
    <row r="72" spans="1:3" x14ac:dyDescent="0.3">
      <c r="A72" s="39" t="s">
        <v>325</v>
      </c>
      <c r="B72" s="32" t="s">
        <v>326</v>
      </c>
      <c r="C72" s="33" t="s">
        <v>327</v>
      </c>
    </row>
    <row r="73" spans="1:3" x14ac:dyDescent="0.3">
      <c r="A73" s="39" t="s">
        <v>328</v>
      </c>
      <c r="B73" s="32" t="s">
        <v>329</v>
      </c>
      <c r="C73" s="33" t="s">
        <v>330</v>
      </c>
    </row>
    <row r="74" spans="1:3" x14ac:dyDescent="0.3">
      <c r="A74" s="39" t="s">
        <v>331</v>
      </c>
      <c r="B74" s="32" t="s">
        <v>332</v>
      </c>
      <c r="C74" s="33" t="s">
        <v>333</v>
      </c>
    </row>
    <row r="75" spans="1:3" x14ac:dyDescent="0.3">
      <c r="A75" s="39" t="s">
        <v>334</v>
      </c>
      <c r="B75" s="32" t="s">
        <v>335</v>
      </c>
      <c r="C75" s="33" t="s">
        <v>336</v>
      </c>
    </row>
    <row r="76" spans="1:3" x14ac:dyDescent="0.3">
      <c r="A76" s="39" t="s">
        <v>337</v>
      </c>
      <c r="B76" s="32" t="s">
        <v>338</v>
      </c>
      <c r="C76" s="33" t="s">
        <v>339</v>
      </c>
    </row>
    <row r="77" spans="1:3" x14ac:dyDescent="0.3">
      <c r="A77" s="39" t="s">
        <v>340</v>
      </c>
      <c r="B77" s="32" t="s">
        <v>341</v>
      </c>
      <c r="C77" s="33" t="s">
        <v>342</v>
      </c>
    </row>
    <row r="78" spans="1:3" x14ac:dyDescent="0.3">
      <c r="A78" s="39" t="s">
        <v>343</v>
      </c>
      <c r="B78" s="32" t="s">
        <v>344</v>
      </c>
      <c r="C78" s="33" t="s">
        <v>345</v>
      </c>
    </row>
    <row r="79" spans="1:3" x14ac:dyDescent="0.3">
      <c r="A79" s="39" t="s">
        <v>346</v>
      </c>
      <c r="B79" s="32" t="s">
        <v>347</v>
      </c>
      <c r="C79" s="33" t="s">
        <v>348</v>
      </c>
    </row>
    <row r="80" spans="1:3" x14ac:dyDescent="0.3">
      <c r="A80" s="39" t="s">
        <v>349</v>
      </c>
      <c r="B80" s="32" t="s">
        <v>350</v>
      </c>
      <c r="C80" s="33" t="s">
        <v>351</v>
      </c>
    </row>
    <row r="81" spans="1:3" x14ac:dyDescent="0.3">
      <c r="A81" s="39" t="s">
        <v>352</v>
      </c>
      <c r="B81" s="32" t="s">
        <v>353</v>
      </c>
      <c r="C81" s="33" t="s">
        <v>354</v>
      </c>
    </row>
    <row r="82" spans="1:3" x14ac:dyDescent="0.3">
      <c r="A82" s="39" t="s">
        <v>355</v>
      </c>
      <c r="B82" s="32" t="s">
        <v>356</v>
      </c>
      <c r="C82" s="33" t="s">
        <v>357</v>
      </c>
    </row>
    <row r="83" spans="1:3" x14ac:dyDescent="0.3">
      <c r="A83" s="39" t="s">
        <v>358</v>
      </c>
      <c r="B83" s="32" t="s">
        <v>359</v>
      </c>
      <c r="C83" s="33" t="s">
        <v>360</v>
      </c>
    </row>
    <row r="84" spans="1:3" x14ac:dyDescent="0.3">
      <c r="A84" s="39" t="s">
        <v>361</v>
      </c>
      <c r="B84" s="32" t="s">
        <v>362</v>
      </c>
      <c r="C84" s="33" t="s">
        <v>363</v>
      </c>
    </row>
    <row r="85" spans="1:3" x14ac:dyDescent="0.3">
      <c r="A85" s="39" t="s">
        <v>364</v>
      </c>
      <c r="B85" s="32" t="s">
        <v>365</v>
      </c>
      <c r="C85" s="33" t="s">
        <v>366</v>
      </c>
    </row>
    <row r="86" spans="1:3" x14ac:dyDescent="0.3">
      <c r="A86" s="39" t="s">
        <v>367</v>
      </c>
      <c r="B86" s="32" t="s">
        <v>368</v>
      </c>
      <c r="C86" s="33" t="s">
        <v>369</v>
      </c>
    </row>
    <row r="87" spans="1:3" x14ac:dyDescent="0.3">
      <c r="A87" s="39" t="s">
        <v>370</v>
      </c>
      <c r="B87" s="32" t="s">
        <v>371</v>
      </c>
      <c r="C87" s="33" t="s">
        <v>372</v>
      </c>
    </row>
    <row r="88" spans="1:3" x14ac:dyDescent="0.3">
      <c r="A88" s="39" t="s">
        <v>373</v>
      </c>
      <c r="B88" s="32" t="s">
        <v>374</v>
      </c>
      <c r="C88" s="33" t="s">
        <v>375</v>
      </c>
    </row>
    <row r="89" spans="1:3" x14ac:dyDescent="0.3">
      <c r="A89" s="39" t="s">
        <v>376</v>
      </c>
      <c r="B89" s="32" t="s">
        <v>377</v>
      </c>
      <c r="C89" s="33" t="s">
        <v>378</v>
      </c>
    </row>
    <row r="90" spans="1:3" x14ac:dyDescent="0.3">
      <c r="A90" s="39" t="s">
        <v>379</v>
      </c>
      <c r="B90" s="32" t="s">
        <v>380</v>
      </c>
      <c r="C90" s="33" t="s">
        <v>381</v>
      </c>
    </row>
    <row r="91" spans="1:3" x14ac:dyDescent="0.3">
      <c r="A91" s="39" t="s">
        <v>382</v>
      </c>
      <c r="B91" s="32" t="s">
        <v>383</v>
      </c>
      <c r="C91" s="33" t="s">
        <v>384</v>
      </c>
    </row>
    <row r="92" spans="1:3" x14ac:dyDescent="0.3">
      <c r="A92" s="39" t="s">
        <v>385</v>
      </c>
      <c r="B92" s="32" t="s">
        <v>386</v>
      </c>
      <c r="C92" s="33" t="s">
        <v>387</v>
      </c>
    </row>
    <row r="93" spans="1:3" x14ac:dyDescent="0.3">
      <c r="A93" s="39" t="s">
        <v>388</v>
      </c>
      <c r="B93" s="32" t="s">
        <v>389</v>
      </c>
      <c r="C93" s="33" t="s">
        <v>390</v>
      </c>
    </row>
    <row r="94" spans="1:3" x14ac:dyDescent="0.3">
      <c r="A94" s="39" t="s">
        <v>391</v>
      </c>
      <c r="B94" s="32" t="s">
        <v>392</v>
      </c>
      <c r="C94" s="33" t="s">
        <v>393</v>
      </c>
    </row>
    <row r="95" spans="1:3" x14ac:dyDescent="0.3">
      <c r="A95" s="39" t="s">
        <v>394</v>
      </c>
      <c r="B95" s="32" t="s">
        <v>395</v>
      </c>
      <c r="C95" s="33" t="s">
        <v>396</v>
      </c>
    </row>
    <row r="96" spans="1:3" x14ac:dyDescent="0.3">
      <c r="A96" s="39" t="s">
        <v>397</v>
      </c>
      <c r="B96" s="32" t="s">
        <v>398</v>
      </c>
      <c r="C96" s="33" t="s">
        <v>399</v>
      </c>
    </row>
    <row r="97" spans="1:3" x14ac:dyDescent="0.3">
      <c r="A97" s="39" t="s">
        <v>400</v>
      </c>
      <c r="B97" s="32" t="s">
        <v>401</v>
      </c>
      <c r="C97" s="33" t="s">
        <v>402</v>
      </c>
    </row>
    <row r="98" spans="1:3" x14ac:dyDescent="0.3">
      <c r="A98" s="39" t="s">
        <v>403</v>
      </c>
      <c r="B98" s="32" t="s">
        <v>404</v>
      </c>
      <c r="C98" s="33" t="s">
        <v>405</v>
      </c>
    </row>
    <row r="99" spans="1:3" x14ac:dyDescent="0.3">
      <c r="A99" s="39" t="s">
        <v>406</v>
      </c>
      <c r="B99" s="32" t="s">
        <v>407</v>
      </c>
      <c r="C99" s="33" t="s">
        <v>408</v>
      </c>
    </row>
    <row r="100" spans="1:3" x14ac:dyDescent="0.3">
      <c r="A100" s="39" t="s">
        <v>409</v>
      </c>
      <c r="B100" s="32" t="s">
        <v>410</v>
      </c>
      <c r="C100" s="33" t="s">
        <v>411</v>
      </c>
    </row>
    <row r="101" spans="1:3" x14ac:dyDescent="0.3">
      <c r="A101" s="39" t="s">
        <v>412</v>
      </c>
      <c r="B101" s="32" t="s">
        <v>413</v>
      </c>
      <c r="C101" s="33" t="s">
        <v>414</v>
      </c>
    </row>
    <row r="102" spans="1:3" x14ac:dyDescent="0.3">
      <c r="A102" s="39" t="s">
        <v>415</v>
      </c>
      <c r="B102" s="32" t="s">
        <v>416</v>
      </c>
      <c r="C102" s="32" t="s">
        <v>417</v>
      </c>
    </row>
    <row r="103" spans="1:3" x14ac:dyDescent="0.3">
      <c r="A103" s="39" t="s">
        <v>834</v>
      </c>
      <c r="B103" s="32" t="s">
        <v>835</v>
      </c>
      <c r="C103" s="32" t="s">
        <v>838</v>
      </c>
    </row>
    <row r="104" spans="1:3" x14ac:dyDescent="0.3">
      <c r="A104" s="39" t="s">
        <v>836</v>
      </c>
      <c r="B104" s="32" t="s">
        <v>837</v>
      </c>
      <c r="C104" s="32" t="s">
        <v>839</v>
      </c>
    </row>
    <row r="105" spans="1:3" x14ac:dyDescent="0.3">
      <c r="A105" s="39" t="s">
        <v>418</v>
      </c>
      <c r="B105" s="32" t="s">
        <v>419</v>
      </c>
      <c r="C105" s="33" t="s">
        <v>420</v>
      </c>
    </row>
    <row r="106" spans="1:3" x14ac:dyDescent="0.3">
      <c r="A106" s="39" t="s">
        <v>421</v>
      </c>
      <c r="B106" s="32" t="s">
        <v>422</v>
      </c>
      <c r="C106" s="33" t="s">
        <v>423</v>
      </c>
    </row>
    <row r="107" spans="1:3" x14ac:dyDescent="0.3">
      <c r="A107" s="39" t="s">
        <v>424</v>
      </c>
      <c r="B107" s="32" t="s">
        <v>425</v>
      </c>
      <c r="C107" s="33" t="s">
        <v>426</v>
      </c>
    </row>
    <row r="108" spans="1:3" x14ac:dyDescent="0.3">
      <c r="A108" s="39" t="s">
        <v>427</v>
      </c>
      <c r="B108" s="32" t="s">
        <v>398</v>
      </c>
      <c r="C108" s="33" t="s">
        <v>428</v>
      </c>
    </row>
    <row r="109" spans="1:3" x14ac:dyDescent="0.3">
      <c r="A109" s="39" t="s">
        <v>429</v>
      </c>
      <c r="B109" s="32" t="s">
        <v>430</v>
      </c>
      <c r="C109" s="33" t="s">
        <v>431</v>
      </c>
    </row>
    <row r="110" spans="1:3" x14ac:dyDescent="0.3">
      <c r="A110" s="39" t="s">
        <v>432</v>
      </c>
      <c r="B110" s="32" t="s">
        <v>395</v>
      </c>
      <c r="C110" s="33" t="s">
        <v>433</v>
      </c>
    </row>
    <row r="111" spans="1:3" x14ac:dyDescent="0.3">
      <c r="A111" s="39" t="s">
        <v>434</v>
      </c>
      <c r="B111" s="32" t="s">
        <v>435</v>
      </c>
      <c r="C111" s="33" t="s">
        <v>436</v>
      </c>
    </row>
    <row r="112" spans="1:3" x14ac:dyDescent="0.3">
      <c r="A112" s="39" t="s">
        <v>437</v>
      </c>
      <c r="B112" s="32" t="s">
        <v>438</v>
      </c>
      <c r="C112" s="33" t="s">
        <v>439</v>
      </c>
    </row>
    <row r="113" spans="1:3" x14ac:dyDescent="0.3">
      <c r="A113" s="39" t="s">
        <v>440</v>
      </c>
      <c r="B113" s="32" t="s">
        <v>441</v>
      </c>
      <c r="C113" s="33" t="s">
        <v>442</v>
      </c>
    </row>
    <row r="114" spans="1:3" x14ac:dyDescent="0.3">
      <c r="A114" s="39" t="s">
        <v>443</v>
      </c>
      <c r="B114" s="32" t="s">
        <v>410</v>
      </c>
      <c r="C114" s="33" t="s">
        <v>444</v>
      </c>
    </row>
    <row r="115" spans="1:3" x14ac:dyDescent="0.3">
      <c r="A115" s="39" t="s">
        <v>445</v>
      </c>
      <c r="B115" s="32" t="s">
        <v>446</v>
      </c>
      <c r="C115" s="33" t="s">
        <v>447</v>
      </c>
    </row>
    <row r="116" spans="1:3" x14ac:dyDescent="0.3">
      <c r="A116" s="39" t="s">
        <v>448</v>
      </c>
      <c r="B116" s="32" t="s">
        <v>449</v>
      </c>
      <c r="C116" s="33" t="s">
        <v>450</v>
      </c>
    </row>
    <row r="117" spans="1:3" x14ac:dyDescent="0.3">
      <c r="A117" s="39" t="s">
        <v>451</v>
      </c>
      <c r="B117" s="32" t="s">
        <v>452</v>
      </c>
      <c r="C117" s="33" t="s">
        <v>453</v>
      </c>
    </row>
    <row r="118" spans="1:3" x14ac:dyDescent="0.3">
      <c r="A118" s="39" t="s">
        <v>454</v>
      </c>
      <c r="B118" s="32" t="s">
        <v>455</v>
      </c>
      <c r="C118" s="33" t="s">
        <v>456</v>
      </c>
    </row>
    <row r="119" spans="1:3" x14ac:dyDescent="0.3">
      <c r="A119" s="39" t="s">
        <v>457</v>
      </c>
      <c r="B119" s="32" t="s">
        <v>458</v>
      </c>
      <c r="C119" s="33" t="s">
        <v>459</v>
      </c>
    </row>
    <row r="120" spans="1:3" x14ac:dyDescent="0.3">
      <c r="A120" s="39" t="s">
        <v>460</v>
      </c>
      <c r="B120" s="32" t="s">
        <v>461</v>
      </c>
      <c r="C120" s="33" t="s">
        <v>462</v>
      </c>
    </row>
    <row r="121" spans="1:3" x14ac:dyDescent="0.3">
      <c r="A121" s="39" t="s">
        <v>463</v>
      </c>
      <c r="B121" s="32" t="s">
        <v>464</v>
      </c>
      <c r="C121" s="33" t="s">
        <v>465</v>
      </c>
    </row>
    <row r="122" spans="1:3" x14ac:dyDescent="0.3">
      <c r="A122" s="39" t="s">
        <v>466</v>
      </c>
      <c r="B122" s="32" t="s">
        <v>464</v>
      </c>
      <c r="C122" s="33" t="s">
        <v>467</v>
      </c>
    </row>
    <row r="123" spans="1:3" x14ac:dyDescent="0.3">
      <c r="A123" s="39" t="s">
        <v>468</v>
      </c>
      <c r="B123" s="32" t="s">
        <v>469</v>
      </c>
      <c r="C123" s="33" t="s">
        <v>470</v>
      </c>
    </row>
    <row r="124" spans="1:3" x14ac:dyDescent="0.3">
      <c r="A124" s="39" t="s">
        <v>471</v>
      </c>
      <c r="B124" s="32" t="s">
        <v>472</v>
      </c>
      <c r="C124" s="33" t="s">
        <v>473</v>
      </c>
    </row>
    <row r="125" spans="1:3" x14ac:dyDescent="0.3">
      <c r="A125" s="39" t="s">
        <v>474</v>
      </c>
      <c r="B125" s="32" t="s">
        <v>475</v>
      </c>
      <c r="C125" s="33" t="s">
        <v>476</v>
      </c>
    </row>
    <row r="126" spans="1:3" x14ac:dyDescent="0.3">
      <c r="A126" s="39" t="s">
        <v>477</v>
      </c>
      <c r="B126" s="32" t="s">
        <v>478</v>
      </c>
      <c r="C126" s="33" t="s">
        <v>479</v>
      </c>
    </row>
    <row r="127" spans="1:3" x14ac:dyDescent="0.3">
      <c r="A127" s="39" t="s">
        <v>480</v>
      </c>
      <c r="B127" s="32" t="s">
        <v>481</v>
      </c>
      <c r="C127" s="33" t="s">
        <v>482</v>
      </c>
    </row>
    <row r="128" spans="1:3" x14ac:dyDescent="0.3">
      <c r="A128" s="39" t="s">
        <v>483</v>
      </c>
      <c r="B128" s="32" t="s">
        <v>484</v>
      </c>
      <c r="C128" s="33" t="s">
        <v>485</v>
      </c>
    </row>
    <row r="129" spans="1:3" x14ac:dyDescent="0.3">
      <c r="A129" s="39" t="s">
        <v>486</v>
      </c>
      <c r="B129" s="32" t="s">
        <v>487</v>
      </c>
      <c r="C129" s="33" t="s">
        <v>488</v>
      </c>
    </row>
    <row r="130" spans="1:3" x14ac:dyDescent="0.3">
      <c r="A130" s="39" t="s">
        <v>489</v>
      </c>
      <c r="B130" s="32" t="s">
        <v>490</v>
      </c>
      <c r="C130" s="33" t="s">
        <v>491</v>
      </c>
    </row>
    <row r="131" spans="1:3" x14ac:dyDescent="0.3">
      <c r="A131" s="39" t="s">
        <v>492</v>
      </c>
      <c r="B131" s="32" t="s">
        <v>493</v>
      </c>
      <c r="C131" s="33" t="s">
        <v>494</v>
      </c>
    </row>
    <row r="132" spans="1:3" x14ac:dyDescent="0.3">
      <c r="A132" s="39" t="s">
        <v>495</v>
      </c>
      <c r="B132" s="32" t="s">
        <v>496</v>
      </c>
      <c r="C132" s="33" t="s">
        <v>497</v>
      </c>
    </row>
    <row r="133" spans="1:3" x14ac:dyDescent="0.3">
      <c r="A133" s="39" t="s">
        <v>498</v>
      </c>
      <c r="B133" s="32" t="s">
        <v>499</v>
      </c>
      <c r="C133" s="33" t="s">
        <v>500</v>
      </c>
    </row>
    <row r="134" spans="1:3" x14ac:dyDescent="0.3">
      <c r="A134" s="39" t="s">
        <v>501</v>
      </c>
      <c r="B134" s="32" t="s">
        <v>502</v>
      </c>
      <c r="C134" s="33" t="s">
        <v>503</v>
      </c>
    </row>
    <row r="135" spans="1:3" x14ac:dyDescent="0.3">
      <c r="A135" s="39" t="s">
        <v>504</v>
      </c>
      <c r="B135" s="32" t="s">
        <v>505</v>
      </c>
      <c r="C135" s="33" t="s">
        <v>506</v>
      </c>
    </row>
    <row r="136" spans="1:3" x14ac:dyDescent="0.3">
      <c r="A136" s="39" t="s">
        <v>507</v>
      </c>
      <c r="B136" s="32" t="s">
        <v>508</v>
      </c>
      <c r="C136" s="33" t="s">
        <v>509</v>
      </c>
    </row>
    <row r="137" spans="1:3" x14ac:dyDescent="0.3">
      <c r="A137" s="39" t="s">
        <v>510</v>
      </c>
      <c r="B137" s="32" t="s">
        <v>511</v>
      </c>
      <c r="C137" s="33" t="s">
        <v>512</v>
      </c>
    </row>
    <row r="138" spans="1:3" x14ac:dyDescent="0.3">
      <c r="A138" s="39" t="s">
        <v>513</v>
      </c>
      <c r="B138" s="32" t="s">
        <v>514</v>
      </c>
      <c r="C138" s="33" t="s">
        <v>515</v>
      </c>
    </row>
    <row r="139" spans="1:3" x14ac:dyDescent="0.3">
      <c r="A139" s="39" t="s">
        <v>516</v>
      </c>
      <c r="B139" s="32" t="s">
        <v>517</v>
      </c>
      <c r="C139" s="33" t="s">
        <v>518</v>
      </c>
    </row>
    <row r="140" spans="1:3" x14ac:dyDescent="0.3">
      <c r="A140" s="39" t="s">
        <v>519</v>
      </c>
      <c r="B140" s="32" t="s">
        <v>520</v>
      </c>
      <c r="C140" s="33" t="s">
        <v>521</v>
      </c>
    </row>
    <row r="141" spans="1:3" x14ac:dyDescent="0.3">
      <c r="A141" s="39" t="s">
        <v>522</v>
      </c>
      <c r="B141" s="32" t="s">
        <v>523</v>
      </c>
      <c r="C141" s="33" t="s">
        <v>524</v>
      </c>
    </row>
    <row r="142" spans="1:3" x14ac:dyDescent="0.3">
      <c r="A142" s="39" t="s">
        <v>525</v>
      </c>
      <c r="B142" s="32" t="s">
        <v>526</v>
      </c>
      <c r="C142" s="33" t="s">
        <v>527</v>
      </c>
    </row>
    <row r="143" spans="1:3" x14ac:dyDescent="0.3">
      <c r="A143" s="39" t="s">
        <v>528</v>
      </c>
      <c r="B143" s="32" t="s">
        <v>529</v>
      </c>
      <c r="C143" s="33" t="s">
        <v>530</v>
      </c>
    </row>
    <row r="144" spans="1:3" x14ac:dyDescent="0.3">
      <c r="A144" s="39" t="s">
        <v>531</v>
      </c>
      <c r="B144" s="32" t="s">
        <v>532</v>
      </c>
      <c r="C144" s="33" t="s">
        <v>533</v>
      </c>
    </row>
    <row r="145" spans="1:3" x14ac:dyDescent="0.3">
      <c r="A145" s="39" t="s">
        <v>534</v>
      </c>
      <c r="B145" s="32" t="s">
        <v>535</v>
      </c>
      <c r="C145" s="33" t="s">
        <v>536</v>
      </c>
    </row>
    <row r="146" spans="1:3" x14ac:dyDescent="0.3">
      <c r="A146" s="39" t="s">
        <v>537</v>
      </c>
      <c r="B146" s="32" t="s">
        <v>538</v>
      </c>
      <c r="C146" s="33" t="s">
        <v>539</v>
      </c>
    </row>
    <row r="147" spans="1:3" x14ac:dyDescent="0.3">
      <c r="A147" s="39" t="s">
        <v>540</v>
      </c>
      <c r="B147" s="32" t="s">
        <v>541</v>
      </c>
      <c r="C147" s="33" t="s">
        <v>542</v>
      </c>
    </row>
    <row r="148" spans="1:3" x14ac:dyDescent="0.3">
      <c r="A148" s="39" t="s">
        <v>543</v>
      </c>
      <c r="B148" s="32" t="s">
        <v>544</v>
      </c>
      <c r="C148" s="33" t="s">
        <v>545</v>
      </c>
    </row>
    <row r="149" spans="1:3" x14ac:dyDescent="0.3">
      <c r="A149" s="39" t="s">
        <v>546</v>
      </c>
      <c r="B149" s="32" t="s">
        <v>547</v>
      </c>
      <c r="C149" s="33" t="s">
        <v>548</v>
      </c>
    </row>
    <row r="150" spans="1:3" x14ac:dyDescent="0.3">
      <c r="A150" s="39" t="s">
        <v>549</v>
      </c>
      <c r="B150" s="32" t="s">
        <v>550</v>
      </c>
      <c r="C150" s="33" t="s">
        <v>551</v>
      </c>
    </row>
    <row r="151" spans="1:3" x14ac:dyDescent="0.3">
      <c r="A151" s="39" t="s">
        <v>552</v>
      </c>
      <c r="B151" s="32" t="s">
        <v>553</v>
      </c>
      <c r="C151" s="33" t="s">
        <v>554</v>
      </c>
    </row>
    <row r="152" spans="1:3" x14ac:dyDescent="0.3">
      <c r="A152" s="39" t="s">
        <v>555</v>
      </c>
      <c r="B152" s="32" t="s">
        <v>556</v>
      </c>
      <c r="C152" s="33" t="s">
        <v>557</v>
      </c>
    </row>
    <row r="153" spans="1:3" x14ac:dyDescent="0.3">
      <c r="A153" s="39" t="s">
        <v>558</v>
      </c>
      <c r="B153" s="32" t="s">
        <v>559</v>
      </c>
      <c r="C153" s="33" t="s">
        <v>560</v>
      </c>
    </row>
    <row r="154" spans="1:3" x14ac:dyDescent="0.3">
      <c r="A154" s="39" t="s">
        <v>561</v>
      </c>
      <c r="B154" s="32" t="s">
        <v>562</v>
      </c>
      <c r="C154" s="33" t="s">
        <v>563</v>
      </c>
    </row>
    <row r="155" spans="1:3" x14ac:dyDescent="0.3">
      <c r="A155" s="39" t="s">
        <v>564</v>
      </c>
      <c r="B155" s="32" t="s">
        <v>565</v>
      </c>
      <c r="C155" s="33" t="s">
        <v>566</v>
      </c>
    </row>
    <row r="156" spans="1:3" x14ac:dyDescent="0.3">
      <c r="A156" s="39" t="s">
        <v>567</v>
      </c>
      <c r="B156" s="32" t="s">
        <v>568</v>
      </c>
      <c r="C156" s="33" t="s">
        <v>569</v>
      </c>
    </row>
    <row r="157" spans="1:3" x14ac:dyDescent="0.3">
      <c r="A157" s="39" t="s">
        <v>570</v>
      </c>
      <c r="B157" s="32" t="s">
        <v>571</v>
      </c>
      <c r="C157" s="33" t="s">
        <v>572</v>
      </c>
    </row>
    <row r="158" spans="1:3" x14ac:dyDescent="0.3">
      <c r="A158" s="39" t="s">
        <v>573</v>
      </c>
      <c r="B158" s="32" t="s">
        <v>574</v>
      </c>
      <c r="C158" s="33" t="s">
        <v>575</v>
      </c>
    </row>
    <row r="159" spans="1:3" x14ac:dyDescent="0.3">
      <c r="A159" s="39" t="s">
        <v>576</v>
      </c>
      <c r="B159" s="32" t="s">
        <v>577</v>
      </c>
      <c r="C159" s="33" t="s">
        <v>578</v>
      </c>
    </row>
    <row r="160" spans="1:3" x14ac:dyDescent="0.3">
      <c r="A160" s="39" t="s">
        <v>579</v>
      </c>
      <c r="B160" s="32" t="s">
        <v>580</v>
      </c>
      <c r="C160" s="33" t="s">
        <v>581</v>
      </c>
    </row>
    <row r="161" spans="1:3" x14ac:dyDescent="0.3">
      <c r="A161" s="39" t="s">
        <v>582</v>
      </c>
      <c r="B161" s="32" t="s">
        <v>583</v>
      </c>
      <c r="C161" s="33" t="s">
        <v>584</v>
      </c>
    </row>
    <row r="162" spans="1:3" x14ac:dyDescent="0.3">
      <c r="A162" s="39" t="s">
        <v>841</v>
      </c>
      <c r="B162" s="32" t="s">
        <v>844</v>
      </c>
      <c r="C162" s="33" t="s">
        <v>849</v>
      </c>
    </row>
    <row r="163" spans="1:3" x14ac:dyDescent="0.3">
      <c r="A163" s="39" t="s">
        <v>842</v>
      </c>
      <c r="B163" s="32" t="s">
        <v>845</v>
      </c>
      <c r="C163" s="33" t="s">
        <v>847</v>
      </c>
    </row>
    <row r="164" spans="1:3" x14ac:dyDescent="0.3">
      <c r="A164" s="39" t="s">
        <v>843</v>
      </c>
      <c r="B164" s="32" t="s">
        <v>846</v>
      </c>
      <c r="C164" s="33" t="s">
        <v>848</v>
      </c>
    </row>
    <row r="165" spans="1:3" x14ac:dyDescent="0.3">
      <c r="A165" s="39" t="s">
        <v>585</v>
      </c>
      <c r="B165" s="32" t="s">
        <v>586</v>
      </c>
      <c r="C165" s="33" t="s">
        <v>587</v>
      </c>
    </row>
    <row r="166" spans="1:3" x14ac:dyDescent="0.3">
      <c r="A166" s="39" t="s">
        <v>588</v>
      </c>
      <c r="B166" s="32" t="s">
        <v>589</v>
      </c>
      <c r="C166" s="33" t="s">
        <v>590</v>
      </c>
    </row>
    <row r="167" spans="1:3" x14ac:dyDescent="0.3">
      <c r="A167" s="39" t="s">
        <v>591</v>
      </c>
      <c r="B167" s="32" t="s">
        <v>592</v>
      </c>
      <c r="C167" s="33" t="s">
        <v>593</v>
      </c>
    </row>
    <row r="168" spans="1:3" x14ac:dyDescent="0.3">
      <c r="A168" s="39" t="s">
        <v>594</v>
      </c>
      <c r="B168" s="32" t="s">
        <v>595</v>
      </c>
      <c r="C168" s="33" t="s">
        <v>596</v>
      </c>
    </row>
    <row r="169" spans="1:3" x14ac:dyDescent="0.3">
      <c r="A169" s="39" t="s">
        <v>597</v>
      </c>
      <c r="B169" s="32" t="s">
        <v>598</v>
      </c>
      <c r="C169" s="33" t="s">
        <v>599</v>
      </c>
    </row>
    <row r="170" spans="1:3" x14ac:dyDescent="0.3">
      <c r="A170" s="39" t="s">
        <v>600</v>
      </c>
      <c r="B170" s="32" t="s">
        <v>601</v>
      </c>
      <c r="C170" s="33" t="s">
        <v>602</v>
      </c>
    </row>
    <row r="171" spans="1:3" x14ac:dyDescent="0.3">
      <c r="A171" s="39" t="s">
        <v>603</v>
      </c>
      <c r="B171" s="32" t="s">
        <v>604</v>
      </c>
      <c r="C171" s="33" t="s">
        <v>605</v>
      </c>
    </row>
    <row r="172" spans="1:3" x14ac:dyDescent="0.3">
      <c r="A172" s="39" t="s">
        <v>606</v>
      </c>
      <c r="B172" s="32" t="s">
        <v>607</v>
      </c>
      <c r="C172" s="33" t="s">
        <v>608</v>
      </c>
    </row>
    <row r="173" spans="1:3" x14ac:dyDescent="0.3">
      <c r="A173" s="39" t="s">
        <v>609</v>
      </c>
      <c r="B173" s="32" t="s">
        <v>610</v>
      </c>
      <c r="C173" s="33" t="s">
        <v>611</v>
      </c>
    </row>
    <row r="174" spans="1:3" x14ac:dyDescent="0.3">
      <c r="A174" s="39" t="s">
        <v>612</v>
      </c>
      <c r="B174" s="32" t="s">
        <v>613</v>
      </c>
      <c r="C174" s="33" t="s">
        <v>614</v>
      </c>
    </row>
    <row r="175" spans="1:3" x14ac:dyDescent="0.3">
      <c r="A175" s="39" t="s">
        <v>615</v>
      </c>
      <c r="B175" s="32" t="s">
        <v>616</v>
      </c>
      <c r="C175" s="33" t="s">
        <v>617</v>
      </c>
    </row>
    <row r="176" spans="1:3" x14ac:dyDescent="0.3">
      <c r="A176" s="39" t="s">
        <v>618</v>
      </c>
      <c r="B176" s="32" t="s">
        <v>619</v>
      </c>
      <c r="C176" s="33" t="s">
        <v>620</v>
      </c>
    </row>
    <row r="177" spans="1:3" x14ac:dyDescent="0.3">
      <c r="A177" s="39" t="s">
        <v>621</v>
      </c>
      <c r="B177" s="32" t="s">
        <v>622</v>
      </c>
      <c r="C177" s="33" t="s">
        <v>623</v>
      </c>
    </row>
    <row r="178" spans="1:3" x14ac:dyDescent="0.3">
      <c r="A178" s="39" t="s">
        <v>624</v>
      </c>
      <c r="B178" s="32" t="s">
        <v>625</v>
      </c>
      <c r="C178" s="33" t="s">
        <v>626</v>
      </c>
    </row>
    <row r="179" spans="1:3" x14ac:dyDescent="0.3">
      <c r="A179" s="39" t="s">
        <v>627</v>
      </c>
      <c r="B179" s="32" t="s">
        <v>628</v>
      </c>
      <c r="C179" s="33" t="s">
        <v>629</v>
      </c>
    </row>
    <row r="180" spans="1:3" x14ac:dyDescent="0.3">
      <c r="A180" s="39" t="s">
        <v>630</v>
      </c>
      <c r="B180" s="32" t="s">
        <v>631</v>
      </c>
      <c r="C180" s="33" t="s">
        <v>632</v>
      </c>
    </row>
    <row r="181" spans="1:3" x14ac:dyDescent="0.3">
      <c r="A181" s="39" t="s">
        <v>633</v>
      </c>
      <c r="B181" s="32" t="s">
        <v>634</v>
      </c>
      <c r="C181" s="33" t="s">
        <v>635</v>
      </c>
    </row>
    <row r="182" spans="1:3" x14ac:dyDescent="0.3">
      <c r="A182" s="39" t="s">
        <v>636</v>
      </c>
      <c r="B182" s="32" t="s">
        <v>637</v>
      </c>
      <c r="C182" s="33" t="s">
        <v>638</v>
      </c>
    </row>
    <row r="183" spans="1:3" x14ac:dyDescent="0.3">
      <c r="A183" s="39" t="s">
        <v>639</v>
      </c>
      <c r="B183" s="32" t="s">
        <v>640</v>
      </c>
      <c r="C183" s="33" t="s">
        <v>641</v>
      </c>
    </row>
    <row r="184" spans="1:3" x14ac:dyDescent="0.3">
      <c r="A184" s="39" t="s">
        <v>642</v>
      </c>
      <c r="B184" s="32" t="s">
        <v>643</v>
      </c>
      <c r="C184" s="33" t="s">
        <v>644</v>
      </c>
    </row>
    <row r="185" spans="1:3" x14ac:dyDescent="0.3">
      <c r="A185" s="39" t="s">
        <v>645</v>
      </c>
      <c r="B185" s="32" t="s">
        <v>646</v>
      </c>
      <c r="C185" s="33" t="s">
        <v>647</v>
      </c>
    </row>
    <row r="186" spans="1:3" x14ac:dyDescent="0.3">
      <c r="A186" s="39" t="s">
        <v>648</v>
      </c>
      <c r="B186" s="32" t="s">
        <v>649</v>
      </c>
      <c r="C186" s="33" t="s">
        <v>650</v>
      </c>
    </row>
    <row r="187" spans="1:3" x14ac:dyDescent="0.3">
      <c r="A187" s="39" t="s">
        <v>651</v>
      </c>
      <c r="B187" s="32" t="s">
        <v>529</v>
      </c>
      <c r="C187" s="33" t="s">
        <v>530</v>
      </c>
    </row>
    <row r="188" spans="1:3" x14ac:dyDescent="0.3">
      <c r="A188" s="39" t="s">
        <v>652</v>
      </c>
      <c r="B188" s="32" t="s">
        <v>532</v>
      </c>
      <c r="C188" s="33" t="s">
        <v>653</v>
      </c>
    </row>
    <row r="189" spans="1:3" x14ac:dyDescent="0.3">
      <c r="A189" s="39" t="s">
        <v>654</v>
      </c>
      <c r="B189" s="32" t="s">
        <v>655</v>
      </c>
      <c r="C189" s="33" t="s">
        <v>536</v>
      </c>
    </row>
    <row r="190" spans="1:3" x14ac:dyDescent="0.3">
      <c r="A190" s="39" t="s">
        <v>656</v>
      </c>
      <c r="B190" s="32" t="s">
        <v>541</v>
      </c>
      <c r="C190" s="33" t="s">
        <v>657</v>
      </c>
    </row>
    <row r="191" spans="1:3" x14ac:dyDescent="0.3">
      <c r="A191" s="39" t="s">
        <v>658</v>
      </c>
      <c r="B191" s="32" t="s">
        <v>659</v>
      </c>
      <c r="C191" s="33" t="s">
        <v>660</v>
      </c>
    </row>
    <row r="192" spans="1:3" x14ac:dyDescent="0.3">
      <c r="A192" s="39" t="s">
        <v>661</v>
      </c>
      <c r="B192" s="32" t="s">
        <v>662</v>
      </c>
      <c r="C192" s="33" t="s">
        <v>663</v>
      </c>
    </row>
    <row r="193" spans="1:3" x14ac:dyDescent="0.3">
      <c r="A193" s="39" t="s">
        <v>664</v>
      </c>
      <c r="B193" s="32" t="s">
        <v>665</v>
      </c>
      <c r="C193" s="33" t="s">
        <v>666</v>
      </c>
    </row>
    <row r="194" spans="1:3" x14ac:dyDescent="0.3">
      <c r="A194" s="39" t="s">
        <v>667</v>
      </c>
      <c r="B194" s="32" t="s">
        <v>668</v>
      </c>
      <c r="C194" s="33" t="s">
        <v>669</v>
      </c>
    </row>
    <row r="195" spans="1:3" x14ac:dyDescent="0.3">
      <c r="A195" s="39" t="s">
        <v>670</v>
      </c>
      <c r="B195" s="32" t="s">
        <v>671</v>
      </c>
      <c r="C195" s="33" t="s">
        <v>672</v>
      </c>
    </row>
    <row r="196" spans="1:3" x14ac:dyDescent="0.3">
      <c r="A196" s="39" t="s">
        <v>673</v>
      </c>
      <c r="B196" s="32" t="s">
        <v>674</v>
      </c>
      <c r="C196" s="33" t="s">
        <v>675</v>
      </c>
    </row>
    <row r="197" spans="1:3" x14ac:dyDescent="0.3">
      <c r="A197" s="39" t="s">
        <v>676</v>
      </c>
      <c r="B197" s="32" t="s">
        <v>677</v>
      </c>
      <c r="C197" s="33" t="s">
        <v>678</v>
      </c>
    </row>
    <row r="198" spans="1:3" x14ac:dyDescent="0.3">
      <c r="A198" s="39" t="s">
        <v>679</v>
      </c>
      <c r="B198" s="32" t="s">
        <v>680</v>
      </c>
      <c r="C198" s="33" t="s">
        <v>681</v>
      </c>
    </row>
    <row r="199" spans="1:3" x14ac:dyDescent="0.3">
      <c r="A199" s="39" t="s">
        <v>682</v>
      </c>
      <c r="B199" s="32" t="s">
        <v>683</v>
      </c>
      <c r="C199" s="33" t="s">
        <v>684</v>
      </c>
    </row>
    <row r="200" spans="1:3" x14ac:dyDescent="0.3">
      <c r="A200" s="39" t="s">
        <v>685</v>
      </c>
      <c r="B200" s="32" t="s">
        <v>686</v>
      </c>
      <c r="C200" s="33" t="s">
        <v>687</v>
      </c>
    </row>
    <row r="201" spans="1:3" x14ac:dyDescent="0.3">
      <c r="A201" s="39" t="s">
        <v>688</v>
      </c>
      <c r="B201" s="32" t="s">
        <v>689</v>
      </c>
      <c r="C201" s="33" t="s">
        <v>690</v>
      </c>
    </row>
    <row r="202" spans="1:3" x14ac:dyDescent="0.3">
      <c r="A202" s="39" t="s">
        <v>691</v>
      </c>
      <c r="B202" s="32" t="s">
        <v>550</v>
      </c>
      <c r="C202" s="33" t="s">
        <v>692</v>
      </c>
    </row>
    <row r="203" spans="1:3" x14ac:dyDescent="0.3">
      <c r="A203" s="39" t="s">
        <v>693</v>
      </c>
      <c r="B203" s="32" t="s">
        <v>571</v>
      </c>
      <c r="C203" s="33" t="s">
        <v>694</v>
      </c>
    </row>
    <row r="204" spans="1:3" x14ac:dyDescent="0.3">
      <c r="A204" s="39" t="s">
        <v>695</v>
      </c>
      <c r="B204" s="32" t="s">
        <v>574</v>
      </c>
      <c r="C204" s="33" t="s">
        <v>696</v>
      </c>
    </row>
    <row r="205" spans="1:3" x14ac:dyDescent="0.3">
      <c r="A205" s="39" t="s">
        <v>697</v>
      </c>
      <c r="B205" s="32" t="s">
        <v>698</v>
      </c>
      <c r="C205" s="33" t="s">
        <v>699</v>
      </c>
    </row>
    <row r="206" spans="1:3" x14ac:dyDescent="0.3">
      <c r="A206" s="39" t="s">
        <v>700</v>
      </c>
      <c r="B206" s="32" t="s">
        <v>562</v>
      </c>
      <c r="C206" s="33" t="s">
        <v>701</v>
      </c>
    </row>
    <row r="207" spans="1:3" x14ac:dyDescent="0.3">
      <c r="A207" s="39" t="s">
        <v>702</v>
      </c>
      <c r="B207" s="32" t="s">
        <v>565</v>
      </c>
      <c r="C207" s="33" t="s">
        <v>703</v>
      </c>
    </row>
    <row r="208" spans="1:3" x14ac:dyDescent="0.3">
      <c r="A208" s="39" t="s">
        <v>704</v>
      </c>
      <c r="B208" s="32" t="s">
        <v>568</v>
      </c>
      <c r="C208" s="33" t="s">
        <v>705</v>
      </c>
    </row>
    <row r="209" spans="1:3" x14ac:dyDescent="0.3">
      <c r="A209" s="39" t="s">
        <v>706</v>
      </c>
      <c r="B209" s="32" t="s">
        <v>707</v>
      </c>
      <c r="C209" s="33" t="s">
        <v>708</v>
      </c>
    </row>
    <row r="210" spans="1:3" x14ac:dyDescent="0.3">
      <c r="A210" s="39" t="s">
        <v>709</v>
      </c>
      <c r="B210" s="32" t="s">
        <v>710</v>
      </c>
      <c r="C210" s="33" t="s">
        <v>711</v>
      </c>
    </row>
    <row r="211" spans="1:3" x14ac:dyDescent="0.3">
      <c r="A211" s="39" t="s">
        <v>712</v>
      </c>
      <c r="B211" s="32" t="s">
        <v>529</v>
      </c>
      <c r="C211" s="33" t="s">
        <v>530</v>
      </c>
    </row>
    <row r="212" spans="1:3" x14ac:dyDescent="0.3">
      <c r="A212" s="39" t="s">
        <v>713</v>
      </c>
      <c r="B212" s="32" t="s">
        <v>556</v>
      </c>
      <c r="C212" s="33" t="s">
        <v>714</v>
      </c>
    </row>
    <row r="213" spans="1:3" x14ac:dyDescent="0.3">
      <c r="A213" s="39" t="s">
        <v>715</v>
      </c>
      <c r="B213" s="32" t="s">
        <v>716</v>
      </c>
      <c r="C213" s="33" t="s">
        <v>717</v>
      </c>
    </row>
    <row r="214" spans="1:3" x14ac:dyDescent="0.3">
      <c r="A214" s="39" t="s">
        <v>718</v>
      </c>
      <c r="B214" s="32" t="s">
        <v>719</v>
      </c>
      <c r="C214" s="33" t="s">
        <v>720</v>
      </c>
    </row>
    <row r="215" spans="1:3" x14ac:dyDescent="0.3">
      <c r="A215" s="39" t="s">
        <v>721</v>
      </c>
      <c r="B215" s="32" t="s">
        <v>722</v>
      </c>
      <c r="C215" s="33" t="s">
        <v>723</v>
      </c>
    </row>
    <row r="216" spans="1:3" x14ac:dyDescent="0.3">
      <c r="A216" s="39" t="s">
        <v>724</v>
      </c>
      <c r="B216" s="32" t="s">
        <v>725</v>
      </c>
      <c r="C216" s="33" t="s">
        <v>726</v>
      </c>
    </row>
    <row r="217" spans="1:3" x14ac:dyDescent="0.3">
      <c r="A217" s="39" t="s">
        <v>727</v>
      </c>
      <c r="B217" s="32" t="s">
        <v>728</v>
      </c>
      <c r="C217" s="33" t="s">
        <v>729</v>
      </c>
    </row>
    <row r="218" spans="1:3" x14ac:dyDescent="0.3">
      <c r="A218" s="39" t="s">
        <v>730</v>
      </c>
      <c r="B218" s="32" t="s">
        <v>731</v>
      </c>
      <c r="C218" s="33" t="s">
        <v>732</v>
      </c>
    </row>
    <row r="219" spans="1:3" x14ac:dyDescent="0.3">
      <c r="A219" s="39" t="s">
        <v>733</v>
      </c>
      <c r="B219" s="32" t="s">
        <v>734</v>
      </c>
      <c r="C219" s="33" t="s">
        <v>735</v>
      </c>
    </row>
    <row r="220" spans="1:3" x14ac:dyDescent="0.3">
      <c r="A220" s="39" t="s">
        <v>736</v>
      </c>
      <c r="B220" s="32" t="s">
        <v>737</v>
      </c>
      <c r="C220" s="33" t="s">
        <v>738</v>
      </c>
    </row>
    <row r="221" spans="1:3" x14ac:dyDescent="0.3">
      <c r="A221" s="39" t="s">
        <v>739</v>
      </c>
      <c r="B221" s="32" t="s">
        <v>740</v>
      </c>
      <c r="C221" s="33" t="s">
        <v>741</v>
      </c>
    </row>
    <row r="222" spans="1:3" x14ac:dyDescent="0.3">
      <c r="A222" s="39" t="s">
        <v>742</v>
      </c>
      <c r="B222" s="32" t="s">
        <v>743</v>
      </c>
      <c r="C222" s="33" t="s">
        <v>744</v>
      </c>
    </row>
    <row r="223" spans="1:3" x14ac:dyDescent="0.3">
      <c r="A223" s="39" t="s">
        <v>745</v>
      </c>
      <c r="B223" s="32" t="s">
        <v>177</v>
      </c>
      <c r="C223" s="33" t="s">
        <v>746</v>
      </c>
    </row>
    <row r="224" spans="1:3" x14ac:dyDescent="0.3">
      <c r="A224" s="39" t="s">
        <v>747</v>
      </c>
      <c r="B224" s="32" t="s">
        <v>748</v>
      </c>
      <c r="C224" s="33" t="s">
        <v>749</v>
      </c>
    </row>
    <row r="225" spans="1:3" x14ac:dyDescent="0.3">
      <c r="A225" s="39" t="s">
        <v>750</v>
      </c>
      <c r="B225" s="32" t="s">
        <v>751</v>
      </c>
      <c r="C225" s="33" t="s">
        <v>752</v>
      </c>
    </row>
    <row r="226" spans="1:3" x14ac:dyDescent="0.3">
      <c r="A226" s="39" t="s">
        <v>753</v>
      </c>
      <c r="B226" s="32" t="s">
        <v>719</v>
      </c>
      <c r="C226" s="33" t="s">
        <v>720</v>
      </c>
    </row>
    <row r="227" spans="1:3" x14ac:dyDescent="0.3">
      <c r="A227" s="39" t="s">
        <v>754</v>
      </c>
      <c r="B227" s="32" t="s">
        <v>755</v>
      </c>
      <c r="C227" s="33" t="s">
        <v>756</v>
      </c>
    </row>
    <row r="228" spans="1:3" x14ac:dyDescent="0.3">
      <c r="A228" s="39" t="s">
        <v>757</v>
      </c>
      <c r="B228" s="32" t="s">
        <v>758</v>
      </c>
      <c r="C228" s="33" t="s">
        <v>759</v>
      </c>
    </row>
    <row r="229" spans="1:3" x14ac:dyDescent="0.3">
      <c r="A229" s="39" t="s">
        <v>760</v>
      </c>
      <c r="B229" s="32" t="s">
        <v>761</v>
      </c>
      <c r="C229" s="33" t="s">
        <v>762</v>
      </c>
    </row>
    <row r="230" spans="1:3" x14ac:dyDescent="0.3">
      <c r="A230" s="39" t="s">
        <v>763</v>
      </c>
      <c r="B230" s="32" t="s">
        <v>764</v>
      </c>
      <c r="C230" s="33" t="s">
        <v>765</v>
      </c>
    </row>
    <row r="231" spans="1:3" x14ac:dyDescent="0.3">
      <c r="A231" s="39" t="s">
        <v>766</v>
      </c>
      <c r="B231" s="32" t="s">
        <v>767</v>
      </c>
      <c r="C231" s="33" t="s">
        <v>768</v>
      </c>
    </row>
    <row r="232" spans="1:3" x14ac:dyDescent="0.3">
      <c r="A232" s="39" t="s">
        <v>769</v>
      </c>
      <c r="B232" s="32" t="s">
        <v>770</v>
      </c>
      <c r="C232" s="33" t="s">
        <v>771</v>
      </c>
    </row>
    <row r="233" spans="1:3" x14ac:dyDescent="0.3">
      <c r="A233" s="39" t="s">
        <v>772</v>
      </c>
      <c r="B233" s="32" t="s">
        <v>773</v>
      </c>
      <c r="C233" s="33" t="s">
        <v>774</v>
      </c>
    </row>
    <row r="234" spans="1:3" x14ac:dyDescent="0.3">
      <c r="A234" s="39" t="s">
        <v>775</v>
      </c>
      <c r="B234" s="32" t="s">
        <v>776</v>
      </c>
      <c r="C234" s="33" t="s">
        <v>777</v>
      </c>
    </row>
    <row r="235" spans="1:3" x14ac:dyDescent="0.3">
      <c r="A235" s="39" t="s">
        <v>804</v>
      </c>
      <c r="B235" s="32" t="s">
        <v>805</v>
      </c>
      <c r="C235" s="33" t="s">
        <v>806</v>
      </c>
    </row>
    <row r="236" spans="1:3" x14ac:dyDescent="0.3">
      <c r="A236" s="39" t="s">
        <v>778</v>
      </c>
      <c r="B236" s="32" t="s">
        <v>779</v>
      </c>
      <c r="C236" s="33" t="s">
        <v>780</v>
      </c>
    </row>
    <row r="237" spans="1:3" x14ac:dyDescent="0.3">
      <c r="A237" s="39" t="s">
        <v>781</v>
      </c>
      <c r="B237" s="32" t="s">
        <v>782</v>
      </c>
      <c r="C237" s="33" t="s">
        <v>783</v>
      </c>
    </row>
  </sheetData>
  <mergeCells count="1">
    <mergeCell ref="A1:C2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>
      <selection activeCell="B13" sqref="B13"/>
    </sheetView>
  </sheetViews>
  <sheetFormatPr defaultRowHeight="16.5" x14ac:dyDescent="0.3"/>
  <cols>
    <col min="2" max="2" width="16.5" bestFit="1" customWidth="1"/>
  </cols>
  <sheetData>
    <row r="2" spans="1:8" x14ac:dyDescent="0.3">
      <c r="A2" t="s">
        <v>793</v>
      </c>
    </row>
    <row r="3" spans="1:8" x14ac:dyDescent="0.3">
      <c r="A3" s="50" t="s">
        <v>799</v>
      </c>
      <c r="B3" s="50" t="s">
        <v>798</v>
      </c>
    </row>
    <row r="4" spans="1:8" x14ac:dyDescent="0.3">
      <c r="A4" s="25" t="s">
        <v>85</v>
      </c>
      <c r="B4" s="50" t="s">
        <v>795</v>
      </c>
    </row>
    <row r="5" spans="1:8" x14ac:dyDescent="0.3">
      <c r="A5" s="25" t="s">
        <v>86</v>
      </c>
      <c r="B5" s="50" t="s">
        <v>796</v>
      </c>
    </row>
    <row r="6" spans="1:8" x14ac:dyDescent="0.3">
      <c r="A6" s="25" t="s">
        <v>794</v>
      </c>
      <c r="B6" s="50" t="s">
        <v>797</v>
      </c>
    </row>
    <row r="8" spans="1:8" x14ac:dyDescent="0.3">
      <c r="A8" s="51" t="s">
        <v>800</v>
      </c>
    </row>
    <row r="9" spans="1:8" x14ac:dyDescent="0.3">
      <c r="A9" s="50" t="s">
        <v>799</v>
      </c>
      <c r="B9" s="73" t="s">
        <v>798</v>
      </c>
      <c r="C9" s="73"/>
      <c r="D9" s="73"/>
      <c r="E9" s="73"/>
      <c r="F9" s="73"/>
      <c r="G9" s="73"/>
      <c r="H9" s="73"/>
    </row>
    <row r="10" spans="1:8" x14ac:dyDescent="0.3">
      <c r="A10" s="25" t="s">
        <v>85</v>
      </c>
      <c r="B10" s="73" t="s">
        <v>801</v>
      </c>
      <c r="C10" s="73"/>
      <c r="D10" s="73"/>
      <c r="E10" s="73"/>
      <c r="F10" s="73"/>
      <c r="G10" s="73"/>
      <c r="H10" s="73"/>
    </row>
    <row r="11" spans="1:8" x14ac:dyDescent="0.3">
      <c r="A11" s="25" t="s">
        <v>790</v>
      </c>
      <c r="B11" s="73" t="s">
        <v>802</v>
      </c>
      <c r="C11" s="73"/>
      <c r="D11" s="73"/>
      <c r="E11" s="73"/>
      <c r="F11" s="73"/>
      <c r="G11" s="73"/>
      <c r="H11" s="73"/>
    </row>
    <row r="12" spans="1:8" x14ac:dyDescent="0.3">
      <c r="A12" s="25" t="s">
        <v>791</v>
      </c>
      <c r="B12" s="73" t="s">
        <v>803</v>
      </c>
      <c r="C12" s="73"/>
      <c r="D12" s="73"/>
      <c r="E12" s="73"/>
      <c r="F12" s="73"/>
      <c r="G12" s="73"/>
      <c r="H12" s="73"/>
    </row>
  </sheetData>
  <mergeCells count="4">
    <mergeCell ref="B10:H10"/>
    <mergeCell ref="B9:H9"/>
    <mergeCell ref="B11:H11"/>
    <mergeCell ref="B12:H12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서식</vt:lpstr>
      <vt:lpstr>작성방법</vt:lpstr>
      <vt:lpstr>작성예시</vt:lpstr>
      <vt:lpstr>국적, 직종, 보험료부과구분코드</vt:lpstr>
      <vt:lpstr>체류자격</vt:lpstr>
      <vt:lpstr>Sheet1</vt:lpstr>
    </vt:vector>
  </TitlesOfParts>
  <Company>intel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user</cp:lastModifiedBy>
  <cp:lastPrinted>2024-12-23T01:41:24Z</cp:lastPrinted>
  <dcterms:created xsi:type="dcterms:W3CDTF">2010-12-02T06:37:40Z</dcterms:created>
  <dcterms:modified xsi:type="dcterms:W3CDTF">2026-03-09T02:20:52Z</dcterms:modified>
</cp:coreProperties>
</file>